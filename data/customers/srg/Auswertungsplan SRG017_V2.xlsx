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21"/>
  <workbookPr/>
  <mc:AlternateContent xmlns:mc="http://schemas.openxmlformats.org/markup-compatibility/2006">
    <mc:Choice Requires="x15">
      <x15ac:absPath xmlns:x15ac="http://schemas.microsoft.com/office/spreadsheetml/2010/11/ac" url="https://fehradvice.sharepoint.com/sites/SRG017/Shared Documents/07 Auswertungen/Auswertungen von Marco/"/>
    </mc:Choice>
  </mc:AlternateContent>
  <xr:revisionPtr revIDLastSave="19" documentId="8_{BFD4452B-2704-5F40-8AF6-8CAFFC9C818F}" xr6:coauthVersionLast="47" xr6:coauthVersionMax="47" xr10:uidLastSave="{8B388D47-F44D-B147-AAAD-685468A1D357}"/>
  <bookViews>
    <workbookView xWindow="0" yWindow="760" windowWidth="30240" windowHeight="18880" activeTab="4" xr2:uid="{00000000-000D-0000-FFFF-FFFF00000000}"/>
  </bookViews>
  <sheets>
    <sheet name="auswertungsplan" sheetId="1" r:id="rId1"/>
    <sheet name="berechnungen" sheetId="5" r:id="rId2"/>
    <sheet name="transformation" sheetId="6" r:id="rId3"/>
    <sheet name="basismodul" sheetId="7" r:id="rId4"/>
    <sheet name="zusatzmodul" sheetId="8" r:id="rId5"/>
    <sheet name="vergleichswerte 2023 (fragen)" sheetId="9" r:id="rId6"/>
    <sheet name="vergleichswerte 2023 (einheit)" sheetId="12" r:id="rId7"/>
  </sheets>
  <definedNames>
    <definedName name="_xlnm._FilterDatabase" localSheetId="3" hidden="1">basismodul!$A$1:$E$72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5" i="6" l="1"/>
  <c r="S14" i="6"/>
  <c r="R14" i="6"/>
  <c r="Q14" i="6"/>
  <c r="O14" i="6"/>
  <c r="M14" i="6"/>
  <c r="P11" i="6"/>
  <c r="P14" i="6" s="1"/>
  <c r="P9" i="6"/>
  <c r="T14" i="6" s="1"/>
  <c r="J9" i="6"/>
  <c r="J14" i="6" s="1"/>
  <c r="J15" i="6" s="1"/>
  <c r="P8" i="6"/>
  <c r="N11" i="6" s="1"/>
  <c r="N14" i="6" s="1"/>
  <c r="J8" i="6"/>
  <c r="L11" i="6" s="1"/>
  <c r="N15" i="6" l="1"/>
  <c r="M15" i="6" s="1"/>
  <c r="L14" i="6"/>
  <c r="L15" i="6" s="1"/>
  <c r="I18" i="6" l="1"/>
  <c r="I19" i="6" s="1"/>
  <c r="B13" i="6" s="1"/>
  <c r="B32" i="6" l="1"/>
  <c r="B23" i="6"/>
  <c r="B87" i="6"/>
  <c r="B96" i="6"/>
  <c r="B62" i="6"/>
  <c r="B30" i="6"/>
  <c r="B33" i="6"/>
  <c r="B69" i="6"/>
  <c r="B64" i="6"/>
  <c r="B22" i="6"/>
  <c r="B81" i="6"/>
  <c r="B68" i="6"/>
  <c r="B27" i="6"/>
  <c r="B55" i="6"/>
  <c r="B73" i="6"/>
  <c r="B70" i="6"/>
  <c r="B100" i="6"/>
  <c r="B95" i="6"/>
  <c r="B59" i="6"/>
  <c r="B4" i="6"/>
  <c r="B77" i="6"/>
  <c r="B91" i="6"/>
  <c r="B36" i="6"/>
  <c r="B42" i="6"/>
  <c r="B34" i="6"/>
  <c r="B31" i="6"/>
  <c r="B63" i="6"/>
  <c r="B99" i="6"/>
  <c r="B101" i="6"/>
  <c r="B78" i="6"/>
  <c r="B8" i="6"/>
  <c r="B40" i="6"/>
  <c r="B72" i="6"/>
  <c r="B29" i="6"/>
  <c r="B85" i="6"/>
  <c r="B54" i="6"/>
  <c r="B11" i="6"/>
  <c r="B46" i="6"/>
  <c r="B35" i="6"/>
  <c r="B67" i="6"/>
  <c r="B12" i="6"/>
  <c r="B14" i="6"/>
  <c r="B86" i="6"/>
  <c r="B10" i="6"/>
  <c r="B44" i="6"/>
  <c r="B76" i="6"/>
  <c r="B37" i="6"/>
  <c r="B89" i="6"/>
  <c r="B66" i="6"/>
  <c r="B71" i="6"/>
  <c r="B90" i="6"/>
  <c r="B17" i="6"/>
  <c r="B41" i="6"/>
  <c r="B93" i="6"/>
  <c r="B74" i="6"/>
  <c r="B75" i="6"/>
  <c r="B52" i="6"/>
  <c r="B97" i="6"/>
  <c r="B82" i="6"/>
  <c r="B58" i="6"/>
  <c r="B15" i="6"/>
  <c r="B80" i="6"/>
  <c r="B94" i="6"/>
  <c r="B26" i="6"/>
  <c r="B20" i="6"/>
  <c r="B49" i="6"/>
  <c r="B21" i="6"/>
  <c r="B7" i="6"/>
  <c r="B47" i="6"/>
  <c r="B79" i="6"/>
  <c r="B53" i="6"/>
  <c r="B38" i="6"/>
  <c r="B19" i="6"/>
  <c r="B24" i="6"/>
  <c r="B56" i="6"/>
  <c r="B88" i="6"/>
  <c r="B57" i="6"/>
  <c r="B2" i="6"/>
  <c r="B98" i="6"/>
  <c r="B5" i="6"/>
  <c r="B39" i="6"/>
  <c r="B6" i="6"/>
  <c r="B48" i="6"/>
  <c r="B18" i="6"/>
  <c r="B43" i="6"/>
  <c r="B45" i="6"/>
  <c r="B102" i="6"/>
  <c r="B84" i="6"/>
  <c r="B25" i="6"/>
  <c r="B16" i="6"/>
  <c r="B51" i="6"/>
  <c r="B83" i="6"/>
  <c r="B61" i="6"/>
  <c r="B50" i="6"/>
  <c r="B3" i="6"/>
  <c r="B28" i="6"/>
  <c r="B60" i="6"/>
  <c r="B92" i="6"/>
  <c r="B65" i="6"/>
  <c r="B9"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Thai, Sofia (GD)</author>
  </authors>
  <commentList>
    <comment ref="A1" authorId="0" shapeId="0" xr:uid="{E3C78983-EE89-C640-B1A5-9DD649A3F244}">
      <text>
        <r>
          <rPr>
            <sz val="10"/>
            <color rgb="FF000000"/>
            <rFont val="Arial"/>
            <family val="2"/>
          </rPr>
          <t>ObjektId</t>
        </r>
      </text>
    </comment>
    <comment ref="B1" authorId="0" shapeId="0" xr:uid="{F5D2D35B-3F2C-834D-A36E-2EF9E86E53CF}">
      <text>
        <r>
          <rPr>
            <sz val="10"/>
            <rFont val="Arial"/>
            <family val="2"/>
          </rPr>
          <t>Objektbezeichnung</t>
        </r>
      </text>
    </comment>
    <comment ref="C1" authorId="0" shapeId="0" xr:uid="{058E6444-7573-5C41-AD21-82C9C50A99A6}">
      <text>
        <r>
          <rPr>
            <sz val="10"/>
            <color rgb="FF000000"/>
            <rFont val="Arial"/>
            <family val="2"/>
          </rPr>
          <t>Organisationspfad</t>
        </r>
      </text>
    </comment>
    <comment ref="D1" authorId="0" shapeId="0" xr:uid="{2A7BC4DD-B1E9-F944-801A-D3A61FB1C6C9}">
      <text>
        <r>
          <rPr>
            <sz val="10"/>
            <color rgb="FF000000"/>
            <rFont val="Arial"/>
            <family val="2"/>
          </rPr>
          <t>Organisationspfad ID</t>
        </r>
      </text>
    </comment>
    <comment ref="E1" authorId="0" shapeId="0" xr:uid="{1988BFB4-A0DE-D145-A8C6-37466DB37829}">
      <text>
        <r>
          <rPr>
            <sz val="10"/>
            <color rgb="FF000000"/>
            <rFont val="Arial"/>
            <family val="2"/>
          </rPr>
          <t>ObjektId</t>
        </r>
      </text>
    </comment>
  </commentList>
</comments>
</file>

<file path=xl/sharedStrings.xml><?xml version="1.0" encoding="utf-8"?>
<sst xmlns="http://schemas.openxmlformats.org/spreadsheetml/2006/main" count="1005" uniqueCount="380">
  <si>
    <t>Grundsätzliche Information:</t>
  </si>
  <si>
    <t>Zum Export:</t>
  </si>
  <si>
    <t>Die Umfrage ist tokenisiert, hinter jedem Token liegen zusätzliche Attribute.</t>
  </si>
  <si>
    <t>Im Export-Fenster bitte auf jeden Fall unter Teilnehmerverwaltung folgende Parameter mit exportieren:</t>
  </si>
  <si>
    <t>Textform:</t>
  </si>
  <si>
    <t>ue</t>
  </si>
  <si>
    <t>bereich</t>
  </si>
  <si>
    <t>abteilung</t>
  </si>
  <si>
    <t>Zahlenform:</t>
  </si>
  <si>
    <t>idue</t>
  </si>
  <si>
    <t>idbe</t>
  </si>
  <si>
    <t>idat</t>
  </si>
  <si>
    <t>Diese sind die wesentlichen Segmente.</t>
  </si>
  <si>
    <t>Bereitschaft / Bewusstsein</t>
  </si>
  <si>
    <t>a)</t>
  </si>
  <si>
    <t>Heatmap-Darstellung</t>
  </si>
  <si>
    <t>y-Achse: Willingness</t>
  </si>
  <si>
    <t>x-Achse: Awareness:</t>
  </si>
  <si>
    <t>b)</t>
  </si>
  <si>
    <t>Datenauswertung</t>
  </si>
  <si>
    <t>für die o.g. Variablen:</t>
  </si>
  <si>
    <t>arithmetisches Mittel (auf 5er Skala)</t>
  </si>
  <si>
    <t>reskalierter Wert (0-100) nach "transformation"</t>
  </si>
  <si>
    <t>Aufschlüsselung in % auf die 5 Antwort-Optionen</t>
  </si>
  <si>
    <t>Die HR-Mitarbeitenden und Führungskräfte der SRG bekommen über ein Cockpit Zugang zu den Daten  "ihrer" Organisation</t>
  </si>
  <si>
    <t>Das Wesentliche: Alle Werte, egal ob AT oder Swoosh, werden auf einem Zahlenwert von 0-100 dargestellt.</t>
  </si>
  <si>
    <t>Für AT</t>
  </si>
  <si>
    <t>Für alle Werte die im Blatt "Basismodul" mit recodieren gekennzeichnet sind: Ablehnung = Zustimmung, also umdrehen</t>
  </si>
  <si>
    <t>Berechnung des arithmetischen Durchschnittswertes / Mittelwerts auf der Frage für das jeweilige Segment</t>
  </si>
  <si>
    <t>Transformation der Skala von -1 bis +1 auf einen Wert von 0 bis 100 (lineare Transformation)</t>
  </si>
  <si>
    <t>Lineare Transformation / Anpassung mit folgender Formel:</t>
  </si>
  <si>
    <t>Neuer Wert = 1.176 * Alter Wert - 17.647</t>
  </si>
  <si>
    <t>Alle Werte, die dadurch unter 0 rücken auf null setzen.</t>
  </si>
  <si>
    <t>Für Swoosh</t>
  </si>
  <si>
    <t>Transformation der Skala von 1 bis 5 auf einen Wert von 0 bis 100 (lineare Transformation)</t>
  </si>
  <si>
    <t>Sonderfall G-NPS</t>
  </si>
  <si>
    <t>Bei der Frage gnpsq1 fragen wir auf einer 0-10er Skala ab</t>
  </si>
  <si>
    <t>Hier die gleichen Schritte wie bei Swoosh, nur die Transformation von 0-10 ist eine andere als von 1-5 :-)</t>
  </si>
  <si>
    <t>Alter Wert</t>
  </si>
  <si>
    <t>Neuer Wert</t>
  </si>
  <si>
    <t>minimaler Wert jetzt</t>
  </si>
  <si>
    <t>minimaler Wert neu</t>
  </si>
  <si>
    <t>maximaler Wert jetzt</t>
  </si>
  <si>
    <t>maximaler Wert neu</t>
  </si>
  <si>
    <t>y</t>
  </si>
  <si>
    <t>=</t>
  </si>
  <si>
    <t>a</t>
  </si>
  <si>
    <t>+</t>
  </si>
  <si>
    <t>b</t>
  </si>
  <si>
    <t>*</t>
  </si>
  <si>
    <t>x</t>
  </si>
  <si>
    <t>für min:</t>
  </si>
  <si>
    <t>(1)</t>
  </si>
  <si>
    <t>für max:</t>
  </si>
  <si>
    <t>(2)</t>
  </si>
  <si>
    <t>aus (1)</t>
  </si>
  <si>
    <t>-</t>
  </si>
  <si>
    <t>(3)</t>
  </si>
  <si>
    <t>(3) in (2)</t>
  </si>
  <si>
    <t>wenn negativer Wert -&gt; auf null setzen</t>
  </si>
  <si>
    <t>Arbeitsumfeld &amp; Wohlbefinden</t>
  </si>
  <si>
    <t>gATUE1_01</t>
  </si>
  <si>
    <t>Nein</t>
  </si>
  <si>
    <t>gATUE1_02</t>
  </si>
  <si>
    <t>Die Zusammenarbeit zwischen Kolleg:innen im Büro und Kolleg:innen im Home-Office funktioniert gut.</t>
  </si>
  <si>
    <t>Mein Job gibt mir Stabilität.</t>
  </si>
  <si>
    <t>…fühle ich mich insgesamt sicher.</t>
  </si>
  <si>
    <t>Meiner direkten Führungsperson ist mein Wohlergehen wichtig.</t>
  </si>
  <si>
    <t>…weiss ich, an wen ich mich wenden kann, wenn es mir schlecht geht.</t>
  </si>
  <si>
    <t>…ist meiner Arbeitgeberin meine Gesundheit wichtig.</t>
  </si>
  <si>
    <t>…werde ich darin unterstützt, dass ich Berufliches und Privates gut vereinbaren kann.</t>
  </si>
  <si>
    <t>Ja</t>
  </si>
  <si>
    <t>…fühle ich mich in meiner Arbeit häufig überfordert.</t>
  </si>
  <si>
    <t>…kann ich nach der Arbeit gut abschalten.</t>
  </si>
  <si>
    <t>…fühle ich mich bei der Arbeit einem ständigen Druck ausgesetzt.</t>
  </si>
  <si>
    <t>Diversität &amp; Inklusion</t>
  </si>
  <si>
    <t>gATTeam_01</t>
  </si>
  <si>
    <t>…ermutigt man mich, so zu sein, wie ich bin.</t>
  </si>
  <si>
    <t>gATTeam_02</t>
  </si>
  <si>
    <t>…muss ich mich nicht verstellen.</t>
  </si>
  <si>
    <t>gATTeam_03</t>
  </si>
  <si>
    <t>…gibt es für alle Mitarbeiter:innen faire Entwicklungsmöglichkeiten.</t>
  </si>
  <si>
    <t>gATTeam_04</t>
  </si>
  <si>
    <t>…gibt es für alle Mitarbeiter:innen einen fairen Zugang zu Weiterbildung und Training.</t>
  </si>
  <si>
    <t>gATTeam_05</t>
  </si>
  <si>
    <t>…erhalten Mitarbeiter:innen den gleichen Lohn, wenn sie vergleichbare Arbeit machen.</t>
  </si>
  <si>
    <t>gSwooshUE2_07</t>
  </si>
  <si>
    <t>Ich empfinde die Arbeit in einem diversen Team als bereichernd.</t>
  </si>
  <si>
    <t>gATUE1_03</t>
  </si>
  <si>
    <t>…wird allen deutlich gesagt, wie wichtig Diversität in einem Unternehmen ist.</t>
  </si>
  <si>
    <t>gATTeam_012</t>
  </si>
  <si>
    <t>…ermutigt man die Mitarbeiter:innen, ihre eigene Meinung zu sagen, auch wenn sie anders ist.</t>
  </si>
  <si>
    <t>gSwooshUE2_06</t>
  </si>
  <si>
    <t>Ich bin davon überzeugt, dass man bessere Entscheidungen trifft, wenn man die Ideen von anderen berücksichtigt.</t>
  </si>
  <si>
    <t>gATTeam_013</t>
  </si>
  <si>
    <t>…ermutigt man die Mitarbeiter:innen, unterschiedliche Ideen zu berücksichtigen.</t>
  </si>
  <si>
    <t>Ich habe das Gefühl, ein Teil meines Teams zu sein.</t>
  </si>
  <si>
    <t>…fühle ich mich geschätzt.</t>
  </si>
  <si>
    <t>Engagement</t>
  </si>
  <si>
    <t>gATUE1_04</t>
  </si>
  <si>
    <t>…gehe ich meistens gerne zur Arbeit.</t>
  </si>
  <si>
    <t>gSwooshUE2_03</t>
  </si>
  <si>
    <t>[UE] ist eine attraktive Arbeitgeberin.</t>
  </si>
  <si>
    <t>gSwooshUE2_04</t>
  </si>
  <si>
    <t>Ich bin mit meiner Arbeit bei [UE] insgesamt zufrieden.</t>
  </si>
  <si>
    <t>gSwooshUE2_05</t>
  </si>
  <si>
    <t>Ich bin mit meinen Aufgaben insgesamt zufrieden.</t>
  </si>
  <si>
    <t>gATUE1_05</t>
  </si>
  <si>
    <t>…bin ich bereit, auch ausserhalb meiner Aufgabenbereiche Verantwortung zu übernehmen.</t>
  </si>
  <si>
    <t>gSwooshUE2_02</t>
  </si>
  <si>
    <t>Ich denke darüber nach, die Arbeitgeberin zu wechseln.</t>
  </si>
  <si>
    <t>gATUE1_06</t>
  </si>
  <si>
    <t>…gebe ich mein Bestes, um gute Leistungen zu erbringen.</t>
  </si>
  <si>
    <t>gATUE1_07</t>
  </si>
  <si>
    <t>…bin ich bereit, mich mehr als nötig für meine Arbeit zu engagieren.</t>
  </si>
  <si>
    <t>gSwooshUE1_03</t>
  </si>
  <si>
    <t xml:space="preserve">Ich empfinde mein Team als sehr engagiert. </t>
  </si>
  <si>
    <t>gSwooshUE1_04</t>
  </si>
  <si>
    <t>gSwooshUE1_01</t>
  </si>
  <si>
    <t>Ich stehe hinter dem Service-Public-Gedanken der SRG.</t>
  </si>
  <si>
    <t>gATUE1_017</t>
  </si>
  <si>
    <t>…fühle ich mich zugehörig.</t>
  </si>
  <si>
    <t>gSwooshUE2_01</t>
  </si>
  <si>
    <t>Ich bin stolz darauf, für [UE] zu arbeiten.</t>
  </si>
  <si>
    <t>gSwooshUE1_02</t>
  </si>
  <si>
    <t>Wenn [UE] in meinem Umfeld kritisiert wird, verteidige ich sie.</t>
  </si>
  <si>
    <t>Ich würde [UE] als Arbeitgeberin weiterempfehlen.</t>
  </si>
  <si>
    <t>Anders abgefragt, siehe Blatt "Transformation" (originär auf 0-10 Skala, nicht 1-5)</t>
  </si>
  <si>
    <t>gATTeam_011</t>
  </si>
  <si>
    <t>gATUE1_08</t>
  </si>
  <si>
    <t>gATUE1_09</t>
  </si>
  <si>
    <t>gATUE1_010</t>
  </si>
  <si>
    <t>gSwooshUE1_06</t>
  </si>
  <si>
    <t>Ich möchte mich ständig weiterentwickeln.</t>
  </si>
  <si>
    <t>gSwooshUE1_07</t>
  </si>
  <si>
    <t>gATUE1_012</t>
  </si>
  <si>
    <t>…suche ich mir aktiv Angebote für meine Weiterentwicklung.</t>
  </si>
  <si>
    <t>gSwooshUE1_08</t>
  </si>
  <si>
    <t>Ich nehme Feedback von meinen Kolleg:innen offen entgegen, damit ich mich verbessern kann.</t>
  </si>
  <si>
    <t>gATUE1_013</t>
  </si>
  <si>
    <t>…teile ich mein Wissen gern mit Kolleg:innen.</t>
  </si>
  <si>
    <t>gATUE1_014</t>
  </si>
  <si>
    <t>...teilen Kolleg:innen ihr Wissen bereitwillig mit mir.</t>
  </si>
  <si>
    <t>gATUE1_015</t>
  </si>
  <si>
    <t>gATUE1_016</t>
  </si>
  <si>
    <t>gSwooshUE1_05</t>
  </si>
  <si>
    <t>Wenn etwas schief läuft, versuchen wir nicht herauszufinden, woran es lag.</t>
  </si>
  <si>
    <t>gATUE1_018</t>
  </si>
  <si>
    <t>…kann ich mich weiterentwickeln.</t>
  </si>
  <si>
    <t>Leadership</t>
  </si>
  <si>
    <t>gATFK_01</t>
  </si>
  <si>
    <t>…trifft klare Entscheidungen.</t>
  </si>
  <si>
    <t>gATFK_02</t>
  </si>
  <si>
    <t>...verhält sich im Einklang mit dem, was er/sie sagt.</t>
  </si>
  <si>
    <t>gATFK_03</t>
  </si>
  <si>
    <t>...kommuniziert klar seine/ihre Erwartungen an mich.</t>
  </si>
  <si>
    <t>gATFK_04</t>
  </si>
  <si>
    <t>...unterstützt mich, wenn ich Hilfe benötige.</t>
  </si>
  <si>
    <t>gATFK_05</t>
  </si>
  <si>
    <t>...hört mir zu und geht auf meine Anliegen ein.</t>
  </si>
  <si>
    <t>gATFK_06</t>
  </si>
  <si>
    <t>…unterstützt mich in meiner Weiterentwicklung.</t>
  </si>
  <si>
    <t>gATFK_07</t>
  </si>
  <si>
    <t>…trägt zu einer guten Atmosphäre im Team bei.</t>
  </si>
  <si>
    <t>gATFK_08</t>
  </si>
  <si>
    <t>...geht mit mir respektvoll um.</t>
  </si>
  <si>
    <t>gATFK_09</t>
  </si>
  <si>
    <t>...gibt mir regelmässig Feedback.</t>
  </si>
  <si>
    <t>gATFK_010</t>
  </si>
  <si>
    <t>...behandelt mich fair.</t>
  </si>
  <si>
    <t>gATFK_011</t>
  </si>
  <si>
    <t>…vermittelt mir Wertschätzung.</t>
  </si>
  <si>
    <t>gATFK_012</t>
  </si>
  <si>
    <t>...gibt mir konstruktives Feedback.</t>
  </si>
  <si>
    <t>gATFK_013</t>
  </si>
  <si>
    <t>...ermutigt unterschiedliche Perspektiven und Arbeitsweisen.</t>
  </si>
  <si>
    <t>Meiner Führungsperson gebe ich nie Feedback.</t>
  </si>
  <si>
    <t>Zusammenarbeit</t>
  </si>
  <si>
    <t>gATTeam_06</t>
  </si>
  <si>
    <t>gSwooshTeam_01</t>
  </si>
  <si>
    <t>Wenn sich ein Team-Mitglied nicht angemessen verhält, geben Kolleg:innen Feedback.</t>
  </si>
  <si>
    <t>gATTeam_07</t>
  </si>
  <si>
    <t>gATTeam_08</t>
  </si>
  <si>
    <t>...geben mir meine Kolleg:innen regelmässig Feedback.</t>
  </si>
  <si>
    <t>gATTeam_09</t>
  </si>
  <si>
    <t>...fordere ich bei Bedarf Feedback von meinen Kolleg:innen ein.</t>
  </si>
  <si>
    <t>gSwooshTeam_02</t>
  </si>
  <si>
    <t>Wenn mir bei der Arbeit ein Fehler unterlaufen ist, habe ich Angst davor, dass dieser entdeckt wird.</t>
  </si>
  <si>
    <t>gATTeam_010</t>
  </si>
  <si>
    <t>…gehen wir konstruktiv mit Fehlern um.</t>
  </si>
  <si>
    <t>gSwooshTeam_03</t>
  </si>
  <si>
    <t>gATUE1_011</t>
  </si>
  <si>
    <t>gATTeam_014</t>
  </si>
  <si>
    <t>…ist es mir unangenehm, Kolleg:innen um Hilfe zu bitten.</t>
  </si>
  <si>
    <t>gATTeam_015</t>
  </si>
  <si>
    <t>…werde ich unterstützt, wenn ich Hilfe benötige.</t>
  </si>
  <si>
    <t>gATTeam_016</t>
  </si>
  <si>
    <t>…darf man keine Schwäche vor anderen zeigen.</t>
  </si>
  <si>
    <t>gATTeam_017</t>
  </si>
  <si>
    <t>...kann ich ehrlich sagen, was ich denke, auch wenn es kritisch ist.</t>
  </si>
  <si>
    <t>gATTeam_018</t>
  </si>
  <si>
    <t>...vertraue ich meiner direkten Führungsperson.</t>
  </si>
  <si>
    <t>...vertraue ich meinen Kolleg:innen.</t>
  </si>
  <si>
    <t>...kann ich mich meinen Kolleg:innen anvertrauen.</t>
  </si>
  <si>
    <t>Fragen-Code LimeSurvey</t>
  </si>
  <si>
    <t>Auswertung: Umpolen?</t>
  </si>
  <si>
    <t>Deutsch</t>
  </si>
  <si>
    <t>https://srgsurvey.fehradvice.com/index.php?r=admin</t>
  </si>
  <si>
    <t>Zugriffsberechtigung sollte dir Isabella erteilt haben.</t>
  </si>
  <si>
    <t>Die Survey liegt auf einem separaten Server, so wie beim letzten Mal</t>
  </si>
  <si>
    <t>https://srgsurvey.fehradvice.com/index.php?r=admin/expressions/sa/survey_logic_file/sid/326955/lang/de</t>
  </si>
  <si>
    <t xml:space="preserve">Die Logikdatei liegt hier: </t>
  </si>
  <si>
    <t>Um die Werte intuitiver zu gestalten und an den Werten/Cutoffs der letzten Personalbefragungen auszurichten, haben wir einige kleinere Transformationen vorgenommen</t>
  </si>
  <si>
    <t>Siehe Blatt Transformation (übernommen vom letzten Mal - wir gehen davon aus, dass das dieses Mal auch übertragbar ist)</t>
  </si>
  <si>
    <t>Thema</t>
  </si>
  <si>
    <t>Subthema</t>
  </si>
  <si>
    <t>…kann ich mit Belastung oder Druck gut umgehen.</t>
  </si>
  <si>
    <t>gSwooshUE1_09 </t>
  </si>
  <si>
    <t xml:space="preserve">gSwooshUE1_10 </t>
  </si>
  <si>
    <t>Kolleg:innen, die im Home Office arbeiten, sind weniger in den sozialen Austausch eingebunden.</t>
  </si>
  <si>
    <t>gSwooshUE1_11 </t>
  </si>
  <si>
    <t>Lernen &amp; Entwicklung</t>
  </si>
  <si>
    <t>gnpsq1</t>
  </si>
  <si>
    <t>Individuelle Beliefs / Individual Beliefs / Croyances individuelles / Credenze individuali</t>
  </si>
  <si>
    <t>gTBlock1Swoosh_01</t>
  </si>
  <si>
    <t>Ich bin grundsätzlich bereit, die Transformation mitzutragen.</t>
  </si>
  <si>
    <t>gTBlock1Swoosh_02</t>
  </si>
  <si>
    <t>Ich glaube, dass mein Beitrag wichtig ist, damit die Transformation gelingt.</t>
  </si>
  <si>
    <t>Verstehen/Understanding/Compréhension/Comprensione</t>
  </si>
  <si>
    <t>gTBlock1Swoosh_03</t>
  </si>
  <si>
    <t>Ich weiss, wie ich mich verhalten muss, um die Veränderung zu unterstützen</t>
  </si>
  <si>
    <t>gTBlock1Swoosh_04</t>
  </si>
  <si>
    <t>Ich habe Zweifel, ob die Transformation in die richtige Richtung geht.</t>
  </si>
  <si>
    <t>gTBlock1Swoosh_05</t>
  </si>
  <si>
    <t>Es bereitet mir Sorgen, was die Veränderung für mich bedeutet.</t>
  </si>
  <si>
    <t>Ich verstehe, warum sich die SRG verändern muss.</t>
  </si>
  <si>
    <t>Ich verstehe, in welche Richtung die Transformation zielt.</t>
  </si>
  <si>
    <t>Die Kommunikation rund um die Transformation ist klar und verständlich.</t>
  </si>
  <si>
    <t>Ich werde zu den geplanten Veränderungen regelmässig auf dem Laufenden gehalten.</t>
  </si>
  <si>
    <t>Einbindung / Engagement / Engagement / Coinvolgimento</t>
  </si>
  <si>
    <t>Ich plane mich regelmässig zu aktuellen Entwicklungen in der Transformation zu informieren.</t>
  </si>
  <si>
    <t>Führung / Leadership / Leadership / Leadership</t>
  </si>
  <si>
    <t>Die Geschäftsleitung der SRG vermittelt ein klares Bild, wohin die Reise geht.</t>
  </si>
  <si>
    <t>Ich habe das Gefühl, dass ich meine Meinung und Gedanken zur Transformation offen äussern kann.</t>
  </si>
  <si>
    <t>Bei Rückfragen oder Sorgen weiss ich, wohin ich mich wenden kann.</t>
  </si>
  <si>
    <t>Alltagserleben / Everyday Experience / Expérience quotidienne / Esperienza quotidiana</t>
  </si>
  <si>
    <t>Ich habe Kolleg:innen, mit denen ich mich zu den Veränderungen austauschen kann.</t>
  </si>
  <si>
    <t>Ich fühle mich von meiner Führungsperson bei der Transformation ausreichend unterstützt.</t>
  </si>
  <si>
    <t>Die Mitglieder der Geschäftsleitungen der SRG und der Unternehmenseinheiten treten in der Transformation geschlossen auf.</t>
  </si>
  <si>
    <t>Es fällt mir auf, dass sich andere im Team kritisch oder ablehnend zur Transformation äussern.</t>
  </si>
  <si>
    <t>In meinem Team wird offen über Gefühle und Sorgen zur Transformation gesprochen.</t>
  </si>
  <si>
    <t>Transformation</t>
  </si>
  <si>
    <t>Hinweise</t>
  </si>
  <si>
    <t>Hier brauchen wir den gesamten Datensatz. Das Zusatzmodul ist dieses Mal (anders als 2023) für alle UEs gleich. Daher können wir es auch so auswerten wie das basismodul</t>
  </si>
  <si>
    <t>Für Variablen-Information und Recodierung siehe Blätter "basismodul" und "zusatzmodul"</t>
  </si>
  <si>
    <t>Auswertungen generell für alle Teilnehmenden. Und zusätzlich unterschieden nach UEs</t>
  </si>
  <si>
    <t>Für Variablen-Information und Recodierung siehe Blatt "zusatzmodul"</t>
  </si>
  <si>
    <t>1. Gesamtauswertung Basismodul + Zusatzmodul</t>
  </si>
  <si>
    <t>3. Deep Dive Auswertung Zusatzmodul</t>
  </si>
  <si>
    <t xml:space="preserve">Da wir im aktuellen Cockpit auch die jeweiligen Vergleichswerte anzeigen möchten, brauchen wir ein paar Vergleichswerte, um die Berechnungen der Dandas gegenzuchecken. </t>
  </si>
  <si>
    <t>2. Neu-Berechnung der 2023 Vergleichswerte (Basismodul)</t>
  </si>
  <si>
    <t>Themenfeld</t>
  </si>
  <si>
    <t>Hypothese</t>
  </si>
  <si>
    <t>recodiert?</t>
  </si>
  <si>
    <t>Aussage</t>
  </si>
  <si>
    <t>…hat mein Arbeitsplatz die Ausstattung, die ich brauche, um meinen Job gut zu erledigen.</t>
  </si>
  <si>
    <t>…fühle ich mich in den aktuellen Arbeits-Räumlichkeiten wohl.</t>
  </si>
  <si>
    <t>gSwooshHO1_01</t>
  </si>
  <si>
    <t>gSwooshHO1_02</t>
  </si>
  <si>
    <t>Wenn ich die Wahl zwischen Büro und Home-Office habe, bevorzuge ich das Home-Office.</t>
  </si>
  <si>
    <t>gSwooshHO1_03</t>
  </si>
  <si>
    <t>Mit meiner Home-Office-Ausstattung kann ich ebenso gut arbeiten, wie im Büro der [UE].</t>
  </si>
  <si>
    <t>gSwooshHO1_04</t>
  </si>
  <si>
    <t>Im Rahmen meiner Arbeit, geniesse ich die Flexibilität, meinen Arbeitsort frei zu wählen.</t>
  </si>
  <si>
    <t>gSwooshUE1_09</t>
  </si>
  <si>
    <t>gATUE1_020</t>
  </si>
  <si>
    <t>gSwooshUE1_010</t>
  </si>
  <si>
    <t>gATUE1_021</t>
  </si>
  <si>
    <t>gATUE1_022</t>
  </si>
  <si>
    <t>gATUE1_023</t>
  </si>
  <si>
    <t>gATUE1_024</t>
  </si>
  <si>
    <t>…kann ich mein Berufsleben mit meinem Privatleben gut vereinbaren.</t>
  </si>
  <si>
    <t>gATUE1_025</t>
  </si>
  <si>
    <t>gATUE1_026</t>
  </si>
  <si>
    <t>gATUE1_027</t>
  </si>
  <si>
    <t>gSwooshTeam_05</t>
  </si>
  <si>
    <t>gATTeam_021</t>
  </si>
  <si>
    <t>Mein Team arbeitet mit Leidenschaft und Begeisterung.</t>
  </si>
  <si>
    <t>gnpsq1_SQ001</t>
  </si>
  <si>
    <t>Entwicklung, Lernen, Innovation</t>
  </si>
  <si>
    <t>…kann ich neue Ideen einbringen.</t>
  </si>
  <si>
    <t>…kann ich neu Gelerntes in meinem Beruf anwenden.</t>
  </si>
  <si>
    <t>…darf ich bei der Arbeit Neues ausprobieren.</t>
  </si>
  <si>
    <t>…hinterfragen wir Routinen und Prozesse regelmässig.</t>
  </si>
  <si>
    <t>Ich bin bereit, mich weiterzuentwickeln.</t>
  </si>
  <si>
    <t>…lerne ich von anderen.</t>
  </si>
  <si>
    <t>…lernen andere von mir.</t>
  </si>
  <si>
    <t>gATUE1_019</t>
  </si>
  <si>
    <t>...habe ich kaum Möglichkeiten, mich weiterzuentwickeln.</t>
  </si>
  <si>
    <t>gSwooshFK_01</t>
  </si>
  <si>
    <t>Ich habe die Möglichkeit, meiner Führungsperson Feedback zu geben.</t>
  </si>
  <si>
    <t>gSwooshFK_02</t>
  </si>
  <si>
    <t>gATUE1_028</t>
  </si>
  <si>
    <t>…geht die Geschäftsleitung als Vorbild voran.</t>
  </si>
  <si>
    <t>gATUE1_029</t>
  </si>
  <si>
    <t>…versteht die Geschäftsleitung, was uns Mitarbeitende beschäftigt.</t>
  </si>
  <si>
    <t>gATUE1_030</t>
  </si>
  <si>
    <t>…zeigt die Geschäftsleitung klar auf, wohin es für uns als [UE] geht.</t>
  </si>
  <si>
    <t>…gibt es eigentlich kein konstruktives Feedback.</t>
  </si>
  <si>
    <t>...erhalte ich von meinen Kolleg:innen positives Feedback für gute Leistung.</t>
  </si>
  <si>
    <t>Ich habe den Eindruck, dass wir gut mit anderen Teams innerhalb der [UE] zusammenarbeiten.</t>
  </si>
  <si>
    <t>…denkt man vor allem im eigenen Silo.</t>
  </si>
  <si>
    <t>gSwooshTeam_04</t>
  </si>
  <si>
    <t>Die Zusammenarbeit mit anderen Teams liefert einen spürbaren Mehrwert.</t>
  </si>
  <si>
    <t>gATTeam_019</t>
  </si>
  <si>
    <t>gATTeam_020</t>
  </si>
  <si>
    <t>Gelöscht</t>
  </si>
  <si>
    <t xml:space="preserve">Ja </t>
  </si>
  <si>
    <r>
      <t>Die gekürzten Fragen befinden sich in Blatt "</t>
    </r>
    <r>
      <rPr>
        <b/>
        <sz val="11"/>
        <color theme="1"/>
        <rFont val="Calibri"/>
        <family val="2"/>
        <scheme val="minor"/>
      </rPr>
      <t>Vergleichswerte 2023 Fragen</t>
    </r>
    <r>
      <rPr>
        <sz val="11"/>
        <color theme="1"/>
        <rFont val="Calibri"/>
        <family val="2"/>
        <scheme val="minor"/>
      </rPr>
      <t>" (Spalte D)</t>
    </r>
  </si>
  <si>
    <t>10030381</t>
  </si>
  <si>
    <t>Jugend &amp; Musik</t>
  </si>
  <si>
    <t>SRF / UNT / Jug. &amp; Musik</t>
  </si>
  <si>
    <t>10021325 / 10022151 / 10030381</t>
  </si>
  <si>
    <t>Objektbezeichnung</t>
  </si>
  <si>
    <t>Organisationspfad</t>
  </si>
  <si>
    <t>Organisationspfad ID</t>
  </si>
  <si>
    <t>10031975</t>
  </si>
  <si>
    <t>Fokus-1</t>
  </si>
  <si>
    <t>SRF / CRV / News&amp;Aktu1 / Fokus / Fokus-1</t>
  </si>
  <si>
    <t>10021325 / 10005124 / 10031259 / 10005260 / 10031975</t>
  </si>
  <si>
    <t>10031663</t>
  </si>
  <si>
    <t>Team MMT Reportagen &amp; Talk</t>
  </si>
  <si>
    <t>SRF / KU / Publizist Ku / Rep &amp; Talk / T Rep&amp;Talk</t>
  </si>
  <si>
    <t>10021325 / 10022152 / 10031204 / 10030529 / 10031663</t>
  </si>
  <si>
    <t>10031663, 10031664</t>
  </si>
  <si>
    <t>Société Audiovisuelle</t>
  </si>
  <si>
    <t>RTS / Soc&amp;Culture / Magazines&amp;So</t>
  </si>
  <si>
    <t>10021176 / 10021279 / 10030382</t>
  </si>
  <si>
    <t>Unité de la Production</t>
  </si>
  <si>
    <t>RTS / Opérations / UnitéProd</t>
  </si>
  <si>
    <t>10021176 / 10021282 / 10031400</t>
  </si>
  <si>
    <t>10023725, 10023726</t>
  </si>
  <si>
    <t>10032293</t>
  </si>
  <si>
    <t>Produzioni musicali Società</t>
  </si>
  <si>
    <t>RSI / C&amp;S / Società / ProdMusSoc</t>
  </si>
  <si>
    <t>10001001 / 10030901 / 10030906 / 10032293</t>
  </si>
  <si>
    <t>10030982, 10031419, 10031421</t>
  </si>
  <si>
    <t>10031490</t>
  </si>
  <si>
    <t>50402 Dispo Produzione</t>
  </si>
  <si>
    <t>RSI / Produzione / Pianif/Dispo / Dispo OP</t>
  </si>
  <si>
    <t>10001001 / 10022482 / 10032275 / 10031490</t>
  </si>
  <si>
    <t>10031487, 10031485, 10031486, 10031490</t>
  </si>
  <si>
    <t>Vergleichswert 2023</t>
  </si>
  <si>
    <t>ObjektId 2025</t>
  </si>
  <si>
    <t xml:space="preserve">Hier müssen wir nicht alle berechnen. Nur ein Stichprobenartiger Check zum Abgleich mit den Berechnungen der Dandas. </t>
  </si>
  <si>
    <r>
      <t xml:space="preserve">Die zu berechnenden Einheiten sind im Blatt </t>
    </r>
    <r>
      <rPr>
        <b/>
        <sz val="11"/>
        <color theme="1"/>
        <rFont val="Calibri"/>
        <family val="2"/>
        <scheme val="minor"/>
      </rPr>
      <t xml:space="preserve">"Vergleichswerte 2023 (Einheiten)"  </t>
    </r>
    <r>
      <rPr>
        <sz val="11"/>
        <color theme="1"/>
        <rFont val="Calibri"/>
        <family val="2"/>
        <scheme val="minor"/>
      </rPr>
      <t>Der zu berechnende Wert ist in Spalte E</t>
    </r>
  </si>
  <si>
    <t>Es gibt Einheiten, da nehmen wir die gleiche ID zum Vergleich, es gibt Einheiten, da nehmen wir eine andere ID zum Vergleich, und es gibt Einheiten, da nehmen wir den gewichteten Durchschnitt von mehreren 2023 Einheiten</t>
  </si>
  <si>
    <t xml:space="preserve">Die Vergleichswerte müssen neu berechnet werden, da (1) ein paar Fragen  angepasst wurden, und sich (2) personell viel getan hat. </t>
  </si>
  <si>
    <t>(1) Veränderung: Fragen</t>
  </si>
  <si>
    <t>(2) Veränderung: Einheiten</t>
  </si>
  <si>
    <t xml:space="preserve">Damit die Vergleiche weiterhin sinnvoll und fair vergleichbar bleiben, wird der 2023-Wert rückwirkend der heutigen Struktur zugeordnet – also so berechnet, als hätte es die aktuelle Struktur bereits damals gegeben, in Bezug auf Fragen und Einheiten. </t>
  </si>
  <si>
    <t>gTBlock2Slider_01</t>
  </si>
  <si>
    <t>gTBlock2Slider_01, gTBlock2Slider_02, gTBlock2Slider_03, gTBlock1Swoosh_03, gTBlock3Matrix_01</t>
  </si>
  <si>
    <t>gTBlock1Swoosh_01, gTBlock1Swoosh_02, gTBlock1Swoosh_04, gTBlock1Swoosh_05, gTBlock3Matrix_05, gTBlock3Matrix_07</t>
  </si>
  <si>
    <t>Frage</t>
  </si>
  <si>
    <t>gTBlock2Slider_02</t>
  </si>
  <si>
    <t>gTBlock2Slider_03</t>
  </si>
  <si>
    <t>gTBlock2Slider_04</t>
  </si>
  <si>
    <t>gTBlock2Slider_05</t>
  </si>
  <si>
    <t>gTBlock3Matrix_01</t>
  </si>
  <si>
    <t>gTBlock3Matrix_02</t>
  </si>
  <si>
    <t>gTBlock3Matrix_03</t>
  </si>
  <si>
    <t>gTBlock3Matrix_04</t>
  </si>
  <si>
    <t>gTBlock3Matrix_05</t>
  </si>
  <si>
    <t>gTBlock3Matrix_06</t>
  </si>
  <si>
    <t>gTBlock3Matrix_07</t>
  </si>
  <si>
    <t>gTBlock3Matrix_08</t>
  </si>
  <si>
    <t>Unsere Darstellung der Scores weicht etwas vom üblichen Vorgehen ab. Ich habe das im Blatt "berechnungen" bzw. "transformationen" skizziert (wie beim letzten Mal)</t>
  </si>
  <si>
    <t>Bitte alle Befragten mit lastpage 25 und 26 integrieren (diese Personen haben die Befragung abgeschlossen, aber am Ende nicht auf abschicken gedrückt oder kein Feedback zur Survey gegeben)</t>
  </si>
  <si>
    <r>
      <t>Segmente: idue (</t>
    </r>
    <r>
      <rPr>
        <b/>
        <sz val="11"/>
        <color theme="5"/>
        <rFont val="Calibri"/>
        <family val="2"/>
        <scheme val="minor"/>
      </rPr>
      <t xml:space="preserve">nicht </t>
    </r>
    <r>
      <rPr>
        <sz val="11"/>
        <color theme="5"/>
        <rFont val="Calibri"/>
        <family val="2"/>
        <scheme val="minor"/>
      </rPr>
      <t>UE). Wir haben insgesamt 9 UEs: GD, RSI, RTR, RTS, SRF, STXT, SWI, BUS, VR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</si>
</sst>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00"/>
  </numFmts>
  <fonts count="19" x14ac:knownFonts="1">
    <font>
      <sz val="11"/>
      <color theme="1"/>
      <name val="Calibri"/>
      <family val="2"/>
      <scheme val="minor"/>
    </font>
    <font>
      <b/>
      <sz val="11"/>
      <color theme="1"/>
      <name val="Calibri"/>
      <family val="2"/>
      <scheme val="minor"/>
    </font>
    <font>
      <u/>
      <sz val="11"/>
      <color theme="10"/>
      <name val="Calibri"/>
      <family val="2"/>
      <scheme val="minor"/>
    </font>
    <font>
      <b/>
      <i/>
      <sz val="11"/>
      <color theme="1"/>
      <name val="Calibri"/>
      <family val="2"/>
      <scheme val="minor"/>
    </font>
    <font>
      <i/>
      <sz val="11"/>
      <color theme="1"/>
      <name val="Calibri"/>
      <family val="2"/>
      <scheme val="minor"/>
    </font>
    <font>
      <b/>
      <sz val="12"/>
      <color rgb="FFFFFFFF"/>
      <name val="Calibri"/>
      <family val="2"/>
      <scheme val="minor"/>
    </font>
    <font>
      <sz val="12"/>
      <color rgb="FF000000"/>
      <name val="Calibri"/>
      <family val="2"/>
      <scheme val="minor"/>
    </font>
    <font>
      <i/>
      <sz val="12"/>
      <color rgb="FF000000"/>
      <name val="Calibri"/>
      <family val="2"/>
      <scheme val="minor"/>
    </font>
    <font>
      <sz val="12"/>
      <color rgb="FF7030A0"/>
      <name val="Calibri"/>
      <family val="2"/>
      <scheme val="minor"/>
    </font>
    <font>
      <sz val="11"/>
      <color theme="4" tint="-0.499984740745262"/>
      <name val="Calibri"/>
      <family val="2"/>
      <scheme val="minor"/>
    </font>
    <font>
      <sz val="10"/>
      <color rgb="FF000000"/>
      <name val="Arial"/>
      <family val="2"/>
    </font>
    <font>
      <sz val="10"/>
      <name val="Arial"/>
      <family val="2"/>
    </font>
    <font>
      <sz val="10"/>
      <color rgb="FF000000"/>
      <name val="Arial"/>
      <family val="2"/>
      <charset val="1"/>
    </font>
    <font>
      <sz val="10"/>
      <color theme="1"/>
      <name val="Calibri"/>
      <family val="2"/>
      <scheme val="minor"/>
    </font>
    <font>
      <sz val="11"/>
      <color theme="5"/>
      <name val="Calibri"/>
      <family val="2"/>
      <scheme val="minor"/>
    </font>
    <font>
      <b/>
      <sz val="11"/>
      <color theme="5"/>
      <name val="Calibri"/>
      <family val="2"/>
      <scheme val="minor"/>
    </font>
    <font>
      <sz val="8"/>
      <name val="Calibri"/>
      <family val="2"/>
      <scheme val="minor"/>
    </font>
    <font>
      <sz val="11"/>
      <color rgb="FFFF0000"/>
      <name val="Calibri"/>
      <family val="2"/>
      <scheme val="minor"/>
    </font>
    <font>
      <sz val="11"/>
      <color theme="9"/>
      <name val="Calibri"/>
      <family val="2"/>
      <scheme val="minor"/>
    </font>
  </fonts>
  <fills count="14">
    <fill>
      <patternFill patternType="none"/>
    </fill>
    <fill>
      <patternFill patternType="gray125"/>
    </fill>
    <fill>
      <patternFill patternType="solid">
        <fgColor theme="9" tint="0.59999389629810485"/>
        <bgColor indexed="64"/>
      </patternFill>
    </fill>
    <fill>
      <patternFill patternType="solid">
        <fgColor theme="9" tint="0.79998168889431442"/>
        <bgColor indexed="64"/>
      </patternFill>
    </fill>
    <fill>
      <patternFill patternType="solid">
        <fgColor rgb="FFFFFF00"/>
        <bgColor indexed="64"/>
      </patternFill>
    </fill>
    <fill>
      <patternFill patternType="solid">
        <fgColor theme="6" tint="0.39997558519241921"/>
        <bgColor indexed="64"/>
      </patternFill>
    </fill>
    <fill>
      <patternFill patternType="solid">
        <fgColor rgb="FF1F4E78"/>
        <bgColor rgb="FF000000"/>
      </patternFill>
    </fill>
    <fill>
      <patternFill patternType="solid">
        <fgColor rgb="FFBDD7EE"/>
        <bgColor rgb="FFBDD7EE"/>
      </patternFill>
    </fill>
    <fill>
      <patternFill patternType="solid">
        <fgColor rgb="FFDDEBF7"/>
        <bgColor rgb="FFDDEBF7"/>
      </patternFill>
    </fill>
    <fill>
      <patternFill patternType="solid">
        <fgColor theme="5" tint="0.59999389629810485"/>
        <bgColor indexed="64"/>
      </patternFill>
    </fill>
    <fill>
      <patternFill patternType="solid">
        <fgColor theme="5" tint="0.59999389629810485"/>
        <bgColor rgb="FFDDEBF7"/>
      </patternFill>
    </fill>
    <fill>
      <patternFill patternType="solid">
        <fgColor theme="5" tint="0.79998168889431442"/>
        <bgColor indexed="64"/>
      </patternFill>
    </fill>
    <fill>
      <patternFill patternType="solid">
        <fgColor theme="4" tint="0.79998168889431442"/>
        <bgColor rgb="FF969696"/>
      </patternFill>
    </fill>
    <fill>
      <patternFill patternType="solid">
        <fgColor theme="4" tint="0.79998168889431442"/>
        <bgColor indexed="64"/>
      </patternFill>
    </fill>
  </fills>
  <borders count="8">
    <border>
      <left/>
      <right/>
      <top/>
      <bottom/>
      <diagonal/>
    </border>
    <border>
      <left/>
      <right style="thin">
        <color rgb="FFFFFFFF"/>
      </right>
      <top/>
      <bottom style="thick">
        <color rgb="FFFFFFFF"/>
      </bottom>
      <diagonal/>
    </border>
    <border>
      <left style="thin">
        <color rgb="FFFFFFFF"/>
      </left>
      <right style="thin">
        <color rgb="FFFFFFFF"/>
      </right>
      <top/>
      <bottom style="thick">
        <color rgb="FFFFFFFF"/>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right style="thin">
        <color rgb="FFFFFFFF"/>
      </right>
      <top style="thin">
        <color rgb="FFFFFFFF"/>
      </top>
      <bottom/>
      <diagonal/>
    </border>
    <border>
      <left style="thin">
        <color rgb="FFFFFFFF"/>
      </left>
      <right style="thin">
        <color rgb="FFFFFFFF"/>
      </right>
      <top style="thin">
        <color rgb="FFFFFFFF"/>
      </top>
      <bottom/>
      <diagonal/>
    </border>
    <border>
      <left style="thin">
        <color auto="1"/>
      </left>
      <right style="thin">
        <color auto="1"/>
      </right>
      <top style="thin">
        <color auto="1"/>
      </top>
      <bottom/>
      <diagonal/>
    </border>
  </borders>
  <cellStyleXfs count="2">
    <xf numFmtId="0" fontId="0" fillId="0" borderId="0"/>
    <xf numFmtId="0" fontId="2" fillId="0" borderId="0" applyNumberFormat="0" applyFill="0" applyBorder="0" applyAlignment="0" applyProtection="0"/>
  </cellStyleXfs>
  <cellXfs count="45">
    <xf numFmtId="0" fontId="0" fillId="0" borderId="0" xfId="0"/>
    <xf numFmtId="0" fontId="1" fillId="0" borderId="0" xfId="0" applyFont="1"/>
    <xf numFmtId="0" fontId="2" fillId="0" borderId="0" xfId="1"/>
    <xf numFmtId="0" fontId="1" fillId="2" borderId="0" xfId="0" applyFont="1" applyFill="1"/>
    <xf numFmtId="0" fontId="0" fillId="2" borderId="0" xfId="0" applyFill="1"/>
    <xf numFmtId="0" fontId="3" fillId="0" borderId="0" xfId="0" applyFont="1"/>
    <xf numFmtId="0" fontId="1" fillId="3" borderId="0" xfId="0" applyFont="1" applyFill="1"/>
    <xf numFmtId="0" fontId="0" fillId="3" borderId="0" xfId="0" applyFill="1"/>
    <xf numFmtId="0" fontId="0" fillId="0" borderId="0" xfId="0" applyAlignment="1">
      <alignment horizontal="center"/>
    </xf>
    <xf numFmtId="1" fontId="0" fillId="0" borderId="0" xfId="0" applyNumberFormat="1"/>
    <xf numFmtId="0" fontId="0" fillId="4" borderId="0" xfId="0" applyFill="1"/>
    <xf numFmtId="0" fontId="0" fillId="0" borderId="0" xfId="0" quotePrefix="1" applyAlignment="1">
      <alignment horizontal="left"/>
    </xf>
    <xf numFmtId="0" fontId="0" fillId="0" borderId="0" xfId="0" quotePrefix="1"/>
    <xf numFmtId="164" fontId="0" fillId="0" borderId="0" xfId="0" applyNumberFormat="1" applyAlignment="1">
      <alignment horizontal="center"/>
    </xf>
    <xf numFmtId="0" fontId="4" fillId="0" borderId="0" xfId="0" applyFont="1"/>
    <xf numFmtId="0" fontId="0" fillId="0" borderId="0" xfId="0" applyAlignment="1">
      <alignment horizontal="left" indent="1"/>
    </xf>
    <xf numFmtId="0" fontId="0" fillId="5" borderId="0" xfId="0" applyFill="1"/>
    <xf numFmtId="1" fontId="0" fillId="5" borderId="0" xfId="0" applyNumberFormat="1" applyFill="1"/>
    <xf numFmtId="0" fontId="4" fillId="5" borderId="0" xfId="0" applyFont="1" applyFill="1"/>
    <xf numFmtId="0" fontId="5" fillId="6" borderId="1" xfId="0" applyFont="1" applyFill="1" applyBorder="1" applyAlignment="1">
      <alignment vertical="center"/>
    </xf>
    <xf numFmtId="0" fontId="5" fillId="6" borderId="2" xfId="0" applyFont="1" applyFill="1" applyBorder="1" applyAlignment="1">
      <alignment vertical="center"/>
    </xf>
    <xf numFmtId="0" fontId="6" fillId="7" borderId="3" xfId="0" applyFont="1" applyFill="1" applyBorder="1" applyAlignment="1">
      <alignment vertical="center"/>
    </xf>
    <xf numFmtId="0" fontId="6" fillId="7" borderId="4" xfId="0" applyFont="1" applyFill="1" applyBorder="1" applyAlignment="1">
      <alignment vertical="center"/>
    </xf>
    <xf numFmtId="0" fontId="6" fillId="0" borderId="0" xfId="0" applyFont="1" applyAlignment="1">
      <alignment vertical="center"/>
    </xf>
    <xf numFmtId="0" fontId="6" fillId="8" borderId="3" xfId="0" applyFont="1" applyFill="1" applyBorder="1" applyAlignment="1">
      <alignment vertical="center"/>
    </xf>
    <xf numFmtId="0" fontId="6" fillId="8" borderId="4" xfId="0" applyFont="1" applyFill="1" applyBorder="1" applyAlignment="1">
      <alignment vertical="center"/>
    </xf>
    <xf numFmtId="0" fontId="7" fillId="0" borderId="0" xfId="0" applyFont="1" applyAlignment="1">
      <alignment vertical="center"/>
    </xf>
    <xf numFmtId="0" fontId="6" fillId="7" borderId="5" xfId="0" applyFont="1" applyFill="1" applyBorder="1" applyAlignment="1">
      <alignment vertical="center"/>
    </xf>
    <xf numFmtId="0" fontId="6" fillId="7" borderId="6" xfId="0" applyFont="1" applyFill="1" applyBorder="1" applyAlignment="1">
      <alignment vertical="center"/>
    </xf>
    <xf numFmtId="0" fontId="8" fillId="0" borderId="0" xfId="0" applyFont="1" applyAlignment="1">
      <alignment vertical="center"/>
    </xf>
    <xf numFmtId="0" fontId="0" fillId="9" borderId="6" xfId="0" applyFill="1" applyBorder="1"/>
    <xf numFmtId="0" fontId="0" fillId="9" borderId="0" xfId="0" applyFill="1"/>
    <xf numFmtId="0" fontId="6" fillId="10" borderId="6" xfId="0" applyFont="1" applyFill="1" applyBorder="1" applyAlignment="1">
      <alignment vertical="center"/>
    </xf>
    <xf numFmtId="0" fontId="6" fillId="10" borderId="0" xfId="0" applyFont="1" applyFill="1" applyAlignment="1">
      <alignment vertical="center"/>
    </xf>
    <xf numFmtId="0" fontId="0" fillId="11" borderId="0" xfId="0" applyFill="1"/>
    <xf numFmtId="0" fontId="9" fillId="11" borderId="0" xfId="0" applyFont="1" applyFill="1"/>
    <xf numFmtId="49" fontId="10" fillId="0" borderId="0" xfId="0" applyNumberFormat="1" applyFont="1" applyAlignment="1">
      <alignment horizontal="left"/>
    </xf>
    <xf numFmtId="0" fontId="12" fillId="0" borderId="0" xfId="0" applyFont="1" applyAlignment="1">
      <alignment horizontal="left"/>
    </xf>
    <xf numFmtId="49" fontId="12" fillId="0" borderId="0" xfId="0" applyNumberFormat="1" applyFont="1" applyAlignment="1">
      <alignment horizontal="left"/>
    </xf>
    <xf numFmtId="0" fontId="10" fillId="12" borderId="7" xfId="0" applyFont="1" applyFill="1" applyBorder="1"/>
    <xf numFmtId="0" fontId="0" fillId="13" borderId="0" xfId="0" applyFill="1"/>
    <xf numFmtId="0" fontId="13" fillId="0" borderId="0" xfId="0" applyFont="1" applyAlignment="1">
      <alignment horizontal="left"/>
    </xf>
    <xf numFmtId="0" fontId="14" fillId="0" borderId="0" xfId="0" applyFont="1"/>
    <xf numFmtId="0" fontId="18" fillId="0" borderId="0" xfId="0" applyFont="1" applyAlignment="1">
      <alignment horizontal="left" indent="1"/>
    </xf>
    <xf numFmtId="0" fontId="17" fillId="0" borderId="0" xfId="0" applyFont="1" applyAlignment="1">
      <alignment horizontal="left" indent="1"/>
    </xf>
  </cellXfs>
  <cellStyles count="2">
    <cellStyle name="Link" xfId="1" builtinId="8"/>
    <cellStyle name="Standard" xfId="0" builtinId="0"/>
  </cellStyles>
  <dxfs count="2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none">
          <fgColor indexed="64"/>
          <bgColor auto="1"/>
        </patternFill>
      </fill>
    </dxf>
    <dxf>
      <fill>
        <patternFill patternType="solid">
          <fgColor indexed="64"/>
          <bgColor theme="5" tint="0.79998168889431442"/>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bgColor theme="5" tint="0.59999389629810485"/>
        </patternFill>
      </fill>
    </dxf>
    <dxf>
      <fill>
        <patternFill>
          <bgColor theme="5" tint="0.59999389629810485"/>
        </patternFill>
      </fill>
    </dxf>
    <dxf>
      <fill>
        <patternFill>
          <bgColor theme="5" tint="0.59999389629810485"/>
        </patternFill>
      </fill>
    </dxf>
    <dxf>
      <font>
        <b val="0"/>
        <i val="0"/>
        <strike val="0"/>
        <condense val="0"/>
        <extend val="0"/>
        <outline val="0"/>
        <shadow val="0"/>
        <u val="none"/>
        <vertAlign val="baseline"/>
        <sz val="12"/>
        <color rgb="FF000000"/>
        <name val="Calibri"/>
        <family val="2"/>
        <scheme val="minor"/>
      </font>
      <fill>
        <patternFill patternType="solid">
          <fgColor indexed="64"/>
          <bgColor theme="5" tint="0.59999389629810485"/>
        </patternFill>
      </fill>
      <alignment horizontal="general" vertical="center" textRotation="0" wrapText="0" indent="0" justifyLastLine="0" shrinkToFit="0" readingOrder="0"/>
    </dxf>
    <dxf>
      <fill>
        <patternFill>
          <bgColor theme="5" tint="0.59999389629810485"/>
        </patternFill>
      </fill>
    </dxf>
    <dxf>
      <fill>
        <patternFill>
          <bgColor theme="5" tint="0.59999389629810485"/>
        </patternFill>
      </fill>
    </dxf>
    <dxf>
      <border outline="0">
        <bottom style="thick">
          <color rgb="FFFFFFFF"/>
        </bottom>
      </border>
    </dxf>
    <dxf>
      <font>
        <b/>
        <i val="0"/>
        <strike val="0"/>
        <condense val="0"/>
        <extend val="0"/>
        <outline val="0"/>
        <shadow val="0"/>
        <u val="none"/>
        <vertAlign val="baseline"/>
        <sz val="12"/>
        <color rgb="FFFFFFFF"/>
        <name val="Calibri"/>
        <family val="2"/>
        <scheme val="minor"/>
      </font>
      <fill>
        <patternFill patternType="solid">
          <fgColor rgb="FF000000"/>
          <bgColor rgb="FF1F4E78"/>
        </patternFill>
      </fill>
      <alignment horizontal="general" vertical="center" textRotation="0" wrapText="0" indent="0" justifyLastLine="0" shrinkToFit="0" readingOrder="0"/>
      <border diagonalUp="0" diagonalDown="0" outline="0">
        <left style="thin">
          <color rgb="FFFFFFFF"/>
        </left>
        <right style="thin">
          <color rgb="FFFFFFFF"/>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Lineare Transformation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transformation!$A$1</c:f>
              <c:strCache>
                <c:ptCount val="1"/>
                <c:pt idx="0">
                  <c:v>Alter Wert</c:v>
                </c:pt>
              </c:strCache>
            </c:strRef>
          </c:tx>
          <c:spPr>
            <a:ln w="28575" cap="rnd">
              <a:solidFill>
                <a:schemeClr val="accent1"/>
              </a:solidFill>
              <a:round/>
            </a:ln>
            <a:effectLst/>
          </c:spPr>
          <c:marker>
            <c:symbol val="none"/>
          </c:marker>
          <c:val>
            <c:numRef>
              <c:f>transformation!$A$2:$A$102</c:f>
              <c:numCache>
                <c:formatCode>General</c:formatCode>
                <c:ptCount val="10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numCache>
            </c:numRef>
          </c:val>
          <c:smooth val="0"/>
          <c:extLst>
            <c:ext xmlns:c16="http://schemas.microsoft.com/office/drawing/2014/chart" uri="{C3380CC4-5D6E-409C-BE32-E72D297353CC}">
              <c16:uniqueId val="{00000000-421B-46BA-82C5-18F7F74B2DE2}"/>
            </c:ext>
          </c:extLst>
        </c:ser>
        <c:ser>
          <c:idx val="1"/>
          <c:order val="1"/>
          <c:tx>
            <c:strRef>
              <c:f>transformation!$B$1</c:f>
              <c:strCache>
                <c:ptCount val="1"/>
                <c:pt idx="0">
                  <c:v>Neuer Wert</c:v>
                </c:pt>
              </c:strCache>
            </c:strRef>
          </c:tx>
          <c:spPr>
            <a:ln w="28575" cap="rnd">
              <a:solidFill>
                <a:schemeClr val="accent2"/>
              </a:solidFill>
              <a:prstDash val="dash"/>
              <a:round/>
            </a:ln>
            <a:effectLst/>
          </c:spPr>
          <c:marker>
            <c:symbol val="none"/>
          </c:marker>
          <c:val>
            <c:numRef>
              <c:f>transformation!$B$2:$B$102</c:f>
              <c:numCache>
                <c:formatCode>0</c:formatCode>
                <c:ptCount val="101"/>
                <c:pt idx="0">
                  <c:v>-25</c:v>
                </c:pt>
                <c:pt idx="1">
                  <c:v>0</c:v>
                </c:pt>
                <c:pt idx="2">
                  <c:v>25</c:v>
                </c:pt>
                <c:pt idx="3">
                  <c:v>50</c:v>
                </c:pt>
                <c:pt idx="4">
                  <c:v>75</c:v>
                </c:pt>
                <c:pt idx="5">
                  <c:v>100</c:v>
                </c:pt>
                <c:pt idx="6">
                  <c:v>125</c:v>
                </c:pt>
                <c:pt idx="7">
                  <c:v>150</c:v>
                </c:pt>
                <c:pt idx="8">
                  <c:v>175</c:v>
                </c:pt>
                <c:pt idx="9">
                  <c:v>200</c:v>
                </c:pt>
                <c:pt idx="10">
                  <c:v>225</c:v>
                </c:pt>
                <c:pt idx="11">
                  <c:v>250</c:v>
                </c:pt>
                <c:pt idx="12">
                  <c:v>275</c:v>
                </c:pt>
                <c:pt idx="13">
                  <c:v>300</c:v>
                </c:pt>
                <c:pt idx="14">
                  <c:v>325</c:v>
                </c:pt>
                <c:pt idx="15">
                  <c:v>350</c:v>
                </c:pt>
                <c:pt idx="16">
                  <c:v>375</c:v>
                </c:pt>
                <c:pt idx="17">
                  <c:v>400</c:v>
                </c:pt>
                <c:pt idx="18">
                  <c:v>425</c:v>
                </c:pt>
                <c:pt idx="19">
                  <c:v>450</c:v>
                </c:pt>
                <c:pt idx="20">
                  <c:v>475</c:v>
                </c:pt>
                <c:pt idx="21">
                  <c:v>500</c:v>
                </c:pt>
                <c:pt idx="22">
                  <c:v>525</c:v>
                </c:pt>
                <c:pt idx="23">
                  <c:v>550</c:v>
                </c:pt>
                <c:pt idx="24">
                  <c:v>575</c:v>
                </c:pt>
                <c:pt idx="25">
                  <c:v>600</c:v>
                </c:pt>
                <c:pt idx="26">
                  <c:v>625</c:v>
                </c:pt>
                <c:pt idx="27">
                  <c:v>650</c:v>
                </c:pt>
                <c:pt idx="28">
                  <c:v>675</c:v>
                </c:pt>
                <c:pt idx="29">
                  <c:v>700</c:v>
                </c:pt>
                <c:pt idx="30">
                  <c:v>725</c:v>
                </c:pt>
                <c:pt idx="31">
                  <c:v>750</c:v>
                </c:pt>
                <c:pt idx="32">
                  <c:v>775</c:v>
                </c:pt>
                <c:pt idx="33">
                  <c:v>800</c:v>
                </c:pt>
                <c:pt idx="34">
                  <c:v>825</c:v>
                </c:pt>
                <c:pt idx="35">
                  <c:v>850</c:v>
                </c:pt>
                <c:pt idx="36">
                  <c:v>875</c:v>
                </c:pt>
                <c:pt idx="37">
                  <c:v>900</c:v>
                </c:pt>
                <c:pt idx="38">
                  <c:v>925</c:v>
                </c:pt>
                <c:pt idx="39">
                  <c:v>950</c:v>
                </c:pt>
                <c:pt idx="40">
                  <c:v>975</c:v>
                </c:pt>
                <c:pt idx="41">
                  <c:v>1000</c:v>
                </c:pt>
                <c:pt idx="42">
                  <c:v>1025</c:v>
                </c:pt>
                <c:pt idx="43">
                  <c:v>1050</c:v>
                </c:pt>
                <c:pt idx="44">
                  <c:v>1075</c:v>
                </c:pt>
                <c:pt idx="45">
                  <c:v>1100</c:v>
                </c:pt>
                <c:pt idx="46">
                  <c:v>1125</c:v>
                </c:pt>
                <c:pt idx="47">
                  <c:v>1150</c:v>
                </c:pt>
                <c:pt idx="48">
                  <c:v>1175</c:v>
                </c:pt>
                <c:pt idx="49">
                  <c:v>1200</c:v>
                </c:pt>
                <c:pt idx="50">
                  <c:v>1225</c:v>
                </c:pt>
                <c:pt idx="51">
                  <c:v>1250</c:v>
                </c:pt>
                <c:pt idx="52">
                  <c:v>1275</c:v>
                </c:pt>
                <c:pt idx="53">
                  <c:v>1300</c:v>
                </c:pt>
                <c:pt idx="54">
                  <c:v>1325</c:v>
                </c:pt>
                <c:pt idx="55">
                  <c:v>1350</c:v>
                </c:pt>
                <c:pt idx="56">
                  <c:v>1375</c:v>
                </c:pt>
                <c:pt idx="57">
                  <c:v>1400</c:v>
                </c:pt>
                <c:pt idx="58">
                  <c:v>1425</c:v>
                </c:pt>
                <c:pt idx="59">
                  <c:v>1450</c:v>
                </c:pt>
                <c:pt idx="60">
                  <c:v>1475</c:v>
                </c:pt>
                <c:pt idx="61">
                  <c:v>1500</c:v>
                </c:pt>
                <c:pt idx="62">
                  <c:v>1525</c:v>
                </c:pt>
                <c:pt idx="63">
                  <c:v>1550</c:v>
                </c:pt>
                <c:pt idx="64">
                  <c:v>1575</c:v>
                </c:pt>
                <c:pt idx="65">
                  <c:v>1600</c:v>
                </c:pt>
                <c:pt idx="66">
                  <c:v>1625</c:v>
                </c:pt>
                <c:pt idx="67">
                  <c:v>1650</c:v>
                </c:pt>
                <c:pt idx="68">
                  <c:v>1675</c:v>
                </c:pt>
                <c:pt idx="69">
                  <c:v>1700</c:v>
                </c:pt>
                <c:pt idx="70">
                  <c:v>1725</c:v>
                </c:pt>
                <c:pt idx="71">
                  <c:v>1750</c:v>
                </c:pt>
                <c:pt idx="72">
                  <c:v>1775</c:v>
                </c:pt>
                <c:pt idx="73">
                  <c:v>1800</c:v>
                </c:pt>
                <c:pt idx="74">
                  <c:v>1825</c:v>
                </c:pt>
                <c:pt idx="75">
                  <c:v>1850</c:v>
                </c:pt>
                <c:pt idx="76">
                  <c:v>1875</c:v>
                </c:pt>
                <c:pt idx="77">
                  <c:v>1900</c:v>
                </c:pt>
                <c:pt idx="78">
                  <c:v>1925</c:v>
                </c:pt>
                <c:pt idx="79">
                  <c:v>1950</c:v>
                </c:pt>
                <c:pt idx="80">
                  <c:v>1975</c:v>
                </c:pt>
                <c:pt idx="81">
                  <c:v>2000</c:v>
                </c:pt>
                <c:pt idx="82">
                  <c:v>2025</c:v>
                </c:pt>
                <c:pt idx="83">
                  <c:v>2050</c:v>
                </c:pt>
                <c:pt idx="84">
                  <c:v>2075</c:v>
                </c:pt>
                <c:pt idx="85">
                  <c:v>2100</c:v>
                </c:pt>
                <c:pt idx="86">
                  <c:v>2125</c:v>
                </c:pt>
                <c:pt idx="87">
                  <c:v>2150</c:v>
                </c:pt>
                <c:pt idx="88">
                  <c:v>2175</c:v>
                </c:pt>
                <c:pt idx="89">
                  <c:v>2200</c:v>
                </c:pt>
                <c:pt idx="90">
                  <c:v>2225</c:v>
                </c:pt>
                <c:pt idx="91">
                  <c:v>2250</c:v>
                </c:pt>
                <c:pt idx="92">
                  <c:v>2275</c:v>
                </c:pt>
                <c:pt idx="93">
                  <c:v>2300</c:v>
                </c:pt>
                <c:pt idx="94">
                  <c:v>2325</c:v>
                </c:pt>
                <c:pt idx="95">
                  <c:v>2350</c:v>
                </c:pt>
                <c:pt idx="96">
                  <c:v>2375</c:v>
                </c:pt>
                <c:pt idx="97">
                  <c:v>2400</c:v>
                </c:pt>
                <c:pt idx="98">
                  <c:v>2425</c:v>
                </c:pt>
                <c:pt idx="99">
                  <c:v>2450</c:v>
                </c:pt>
                <c:pt idx="100">
                  <c:v>2475</c:v>
                </c:pt>
              </c:numCache>
            </c:numRef>
          </c:val>
          <c:smooth val="0"/>
          <c:extLst>
            <c:ext xmlns:c16="http://schemas.microsoft.com/office/drawing/2014/chart" uri="{C3380CC4-5D6E-409C-BE32-E72D297353CC}">
              <c16:uniqueId val="{00000001-421B-46BA-82C5-18F7F74B2DE2}"/>
            </c:ext>
          </c:extLst>
        </c:ser>
        <c:dLbls>
          <c:showLegendKey val="0"/>
          <c:showVal val="0"/>
          <c:showCatName val="0"/>
          <c:showSerName val="0"/>
          <c:showPercent val="0"/>
          <c:showBubbleSize val="0"/>
        </c:dLbls>
        <c:smooth val="0"/>
        <c:axId val="2000350560"/>
        <c:axId val="1729553776"/>
      </c:lineChart>
      <c:catAx>
        <c:axId val="2000350560"/>
        <c:scaling>
          <c:orientation val="minMax"/>
        </c:scaling>
        <c:delete val="0"/>
        <c:axPos val="b"/>
        <c:numFmt formatCode="#,##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553776"/>
        <c:crosses val="autoZero"/>
        <c:auto val="1"/>
        <c:lblAlgn val="ctr"/>
        <c:lblOffset val="100"/>
        <c:noMultiLvlLbl val="0"/>
      </c:catAx>
      <c:valAx>
        <c:axId val="1729553776"/>
        <c:scaling>
          <c:orientation val="minMax"/>
          <c:max val="100"/>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03505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48932</xdr:colOff>
      <xdr:row>0</xdr:row>
      <xdr:rowOff>6724</xdr:rowOff>
    </xdr:from>
    <xdr:to>
      <xdr:col>7</xdr:col>
      <xdr:colOff>268942</xdr:colOff>
      <xdr:row>20</xdr:row>
      <xdr:rowOff>47177</xdr:rowOff>
    </xdr:to>
    <xdr:pic>
      <xdr:nvPicPr>
        <xdr:cNvPr id="2" name="Grafik 1">
          <a:extLst>
            <a:ext uri="{FF2B5EF4-FFF2-40B4-BE49-F238E27FC236}">
              <a16:creationId xmlns:a16="http://schemas.microsoft.com/office/drawing/2014/main" id="{D7949EED-C756-7095-7B51-6D6161FBAAB9}"/>
            </a:ext>
          </a:extLst>
        </xdr:cNvPr>
        <xdr:cNvPicPr>
          <a:picLocks noChangeAspect="1"/>
        </xdr:cNvPicPr>
      </xdr:nvPicPr>
      <xdr:blipFill>
        <a:blip xmlns:r="http://schemas.openxmlformats.org/officeDocument/2006/relationships" r:embed="rId1"/>
        <a:stretch>
          <a:fillRect/>
        </a:stretch>
      </xdr:blipFill>
      <xdr:spPr>
        <a:xfrm>
          <a:off x="48932" y="6724"/>
          <a:ext cx="5075892" cy="377574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21</xdr:col>
      <xdr:colOff>126891</xdr:colOff>
      <xdr:row>3</xdr:row>
      <xdr:rowOff>129901</xdr:rowOff>
    </xdr:from>
    <xdr:to>
      <xdr:col>27</xdr:col>
      <xdr:colOff>123716</xdr:colOff>
      <xdr:row>18</xdr:row>
      <xdr:rowOff>168001</xdr:rowOff>
    </xdr:to>
    <xdr:graphicFrame macro="">
      <xdr:nvGraphicFramePr>
        <xdr:cNvPr id="2" name="Diagramm 1">
          <a:extLst>
            <a:ext uri="{FF2B5EF4-FFF2-40B4-BE49-F238E27FC236}">
              <a16:creationId xmlns:a16="http://schemas.microsoft.com/office/drawing/2014/main" id="{29338354-A877-4468-820C-D6BC835C9E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F9FB5F7-5B1D-6747-A39E-FD042A3BAB13}" name="Tabelle9" displayName="Tabelle9" ref="A1:E19" totalsRowShown="0" headerRowDxfId="20" dataDxfId="18" headerRowBorderDxfId="19">
  <autoFilter ref="A1:E19" xr:uid="{CF9FB5F7-5B1D-6747-A39E-FD042A3BAB13}"/>
  <sortState xmlns:xlrd2="http://schemas.microsoft.com/office/spreadsheetml/2017/richdata2" ref="A2:E19">
    <sortCondition ref="C2:C19"/>
  </sortState>
  <tableColumns count="5">
    <tableColumn id="1" xr3:uid="{2DEA5EE6-1B84-C543-97FC-0F20AAE8DF15}" name="Thema" dataDxfId="17"/>
    <tableColumn id="2" xr3:uid="{785FAB63-E8FF-D24B-9D7D-068A22B85926}" name="Subthema" dataDxfId="16"/>
    <tableColumn id="4" xr3:uid="{3C30E739-AFE4-6B4F-8D35-3DDDD7DC3E80}" name="Fragen-Code LimeSurvey" dataDxfId="15"/>
    <tableColumn id="5" xr3:uid="{AB4521C7-E687-EF44-9A43-1A36239923CB}" name="Auswertung: Umpolen?" dataDxfId="14"/>
    <tableColumn id="6" xr3:uid="{F6F3F03C-FC9F-7448-BBD6-30043C03C5E9}" name="Frage" dataDxfId="13"/>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BA3AFB1-7624-3849-86DB-0CD732334B3D}" name="Tabelle1" displayName="Tabelle1" ref="A1:E94" totalsRowShown="0" headerRowDxfId="12" dataDxfId="11">
  <autoFilter ref="A1:E94" xr:uid="{4BA3AFB1-7624-3849-86DB-0CD732334B3D}"/>
  <tableColumns count="5">
    <tableColumn id="1" xr3:uid="{09D0B810-07DF-D84B-93E2-5CB8A5A2ACC3}" name="Themenfeld" dataDxfId="10"/>
    <tableColumn id="2" xr3:uid="{712F809B-7867-5A4A-B93B-26A3DE331BFC}" name="Hypothese" dataDxfId="9"/>
    <tableColumn id="3" xr3:uid="{6219D70A-17BF-034F-B89C-813BD8F9AF4B}" name="recodiert?" dataDxfId="8"/>
    <tableColumn id="5" xr3:uid="{C5BE3029-5569-8549-A78D-3CBD13EA6782}" name="Gelöscht" dataDxfId="7"/>
    <tableColumn id="4" xr3:uid="{8AE68925-44A1-AD48-804E-F478A708128E}" name="Aussage" dataDxfId="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srgsurvey.fehradvice.com/index.php?r=admin"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43"/>
  <sheetViews>
    <sheetView topLeftCell="A29" zoomScale="132" workbookViewId="0">
      <selection activeCell="C46" sqref="B46:C47"/>
    </sheetView>
  </sheetViews>
  <sheetFormatPr baseColWidth="10" defaultColWidth="8.5" defaultRowHeight="15" x14ac:dyDescent="0.2"/>
  <cols>
    <col min="1" max="1" width="4.5" customWidth="1"/>
    <col min="2" max="2" width="23.5" bestFit="1" customWidth="1"/>
    <col min="17" max="17" width="35.1640625" customWidth="1"/>
  </cols>
  <sheetData>
    <row r="1" spans="1:17" x14ac:dyDescent="0.2">
      <c r="A1" s="3" t="s">
        <v>0</v>
      </c>
      <c r="B1" s="4"/>
      <c r="C1" s="4"/>
      <c r="D1" s="4"/>
      <c r="E1" s="4"/>
      <c r="F1" s="4"/>
      <c r="G1" s="4"/>
      <c r="H1" s="4"/>
      <c r="I1" s="4"/>
      <c r="J1" s="4"/>
      <c r="K1" s="4"/>
      <c r="L1" s="4"/>
      <c r="M1" s="4"/>
      <c r="N1" s="4"/>
      <c r="O1" s="4"/>
      <c r="P1" s="4"/>
      <c r="Q1" s="4"/>
    </row>
    <row r="2" spans="1:17" x14ac:dyDescent="0.2">
      <c r="A2" t="s">
        <v>209</v>
      </c>
    </row>
    <row r="3" spans="1:17" x14ac:dyDescent="0.2">
      <c r="A3" s="2" t="s">
        <v>207</v>
      </c>
    </row>
    <row r="4" spans="1:17" x14ac:dyDescent="0.2">
      <c r="A4" t="s">
        <v>208</v>
      </c>
    </row>
    <row r="5" spans="1:17" x14ac:dyDescent="0.2">
      <c r="A5" t="s">
        <v>211</v>
      </c>
    </row>
    <row r="6" spans="1:17" x14ac:dyDescent="0.2">
      <c r="A6" s="2" t="s">
        <v>210</v>
      </c>
    </row>
    <row r="8" spans="1:17" x14ac:dyDescent="0.2">
      <c r="A8" s="1" t="s">
        <v>1</v>
      </c>
    </row>
    <row r="9" spans="1:17" x14ac:dyDescent="0.2">
      <c r="A9" t="s">
        <v>2</v>
      </c>
    </row>
    <row r="10" spans="1:17" x14ac:dyDescent="0.2">
      <c r="A10" t="s">
        <v>3</v>
      </c>
    </row>
    <row r="11" spans="1:17" x14ac:dyDescent="0.2">
      <c r="B11" s="5" t="s">
        <v>4</v>
      </c>
      <c r="C11" t="s">
        <v>5</v>
      </c>
      <c r="D11" t="s">
        <v>6</v>
      </c>
      <c r="E11" t="s">
        <v>7</v>
      </c>
    </row>
    <row r="12" spans="1:17" x14ac:dyDescent="0.2">
      <c r="B12" s="5" t="s">
        <v>8</v>
      </c>
      <c r="C12" t="s">
        <v>9</v>
      </c>
      <c r="D12" t="s">
        <v>10</v>
      </c>
      <c r="E12" t="s">
        <v>11</v>
      </c>
    </row>
    <row r="13" spans="1:17" x14ac:dyDescent="0.2">
      <c r="A13" t="s">
        <v>12</v>
      </c>
    </row>
    <row r="15" spans="1:17" x14ac:dyDescent="0.2">
      <c r="A15" s="42" t="s">
        <v>378</v>
      </c>
    </row>
    <row r="16" spans="1:17" x14ac:dyDescent="0.2">
      <c r="A16" s="1"/>
    </row>
    <row r="17" spans="1:17" x14ac:dyDescent="0.2">
      <c r="A17" s="1" t="s">
        <v>377</v>
      </c>
    </row>
    <row r="19" spans="1:17" x14ac:dyDescent="0.2">
      <c r="A19" s="3" t="s">
        <v>257</v>
      </c>
      <c r="B19" s="4"/>
      <c r="C19" s="4"/>
      <c r="D19" s="4"/>
      <c r="E19" s="4"/>
      <c r="F19" s="4"/>
      <c r="G19" s="4"/>
      <c r="H19" s="4"/>
      <c r="I19" s="4"/>
      <c r="J19" s="4"/>
      <c r="K19" s="4"/>
      <c r="L19" s="4"/>
      <c r="M19" s="4"/>
      <c r="N19" s="4"/>
      <c r="O19" s="4"/>
      <c r="P19" s="4"/>
      <c r="Q19" s="4"/>
    </row>
    <row r="20" spans="1:17" x14ac:dyDescent="0.2">
      <c r="A20" t="s">
        <v>253</v>
      </c>
    </row>
    <row r="21" spans="1:17" x14ac:dyDescent="0.2">
      <c r="A21" s="42" t="s">
        <v>379</v>
      </c>
    </row>
    <row r="22" spans="1:17" x14ac:dyDescent="0.2">
      <c r="A22" t="s">
        <v>254</v>
      </c>
    </row>
    <row r="25" spans="1:17" x14ac:dyDescent="0.2">
      <c r="A25" s="3" t="s">
        <v>260</v>
      </c>
      <c r="B25" s="4"/>
      <c r="C25" s="4"/>
      <c r="D25" s="4"/>
      <c r="E25" s="4"/>
      <c r="F25" s="4"/>
      <c r="G25" s="4"/>
      <c r="H25" s="4"/>
      <c r="I25" s="4"/>
      <c r="J25" s="4"/>
      <c r="K25" s="4"/>
      <c r="L25" s="4"/>
      <c r="M25" s="4"/>
      <c r="N25" s="4"/>
      <c r="O25" s="4"/>
      <c r="P25" s="4"/>
      <c r="Q25" s="4"/>
    </row>
    <row r="26" spans="1:17" x14ac:dyDescent="0.2">
      <c r="A26" t="s">
        <v>259</v>
      </c>
    </row>
    <row r="27" spans="1:17" x14ac:dyDescent="0.2">
      <c r="A27" t="s">
        <v>357</v>
      </c>
    </row>
    <row r="28" spans="1:17" x14ac:dyDescent="0.2">
      <c r="A28" t="s">
        <v>360</v>
      </c>
    </row>
    <row r="30" spans="1:17" x14ac:dyDescent="0.2">
      <c r="A30" s="1" t="s">
        <v>358</v>
      </c>
    </row>
    <row r="31" spans="1:17" x14ac:dyDescent="0.2">
      <c r="A31" t="s">
        <v>318</v>
      </c>
    </row>
    <row r="33" spans="1:17" x14ac:dyDescent="0.2">
      <c r="A33" s="1" t="s">
        <v>359</v>
      </c>
    </row>
    <row r="34" spans="1:17" x14ac:dyDescent="0.2">
      <c r="A34" t="s">
        <v>354</v>
      </c>
    </row>
    <row r="35" spans="1:17" x14ac:dyDescent="0.2">
      <c r="A35" t="s">
        <v>355</v>
      </c>
    </row>
    <row r="36" spans="1:17" x14ac:dyDescent="0.2">
      <c r="A36" t="s">
        <v>356</v>
      </c>
    </row>
    <row r="39" spans="1:17" x14ac:dyDescent="0.2">
      <c r="A39" s="3" t="s">
        <v>258</v>
      </c>
      <c r="B39" s="4"/>
      <c r="C39" s="4"/>
      <c r="D39" s="4"/>
      <c r="E39" s="4"/>
      <c r="F39" s="4"/>
      <c r="G39" s="4"/>
      <c r="H39" s="4"/>
      <c r="I39" s="4"/>
      <c r="J39" s="4"/>
      <c r="K39" s="4"/>
      <c r="L39" s="4"/>
      <c r="M39" s="4"/>
      <c r="N39" s="4"/>
      <c r="O39" s="4"/>
      <c r="P39" s="4"/>
      <c r="Q39" s="4"/>
    </row>
    <row r="40" spans="1:17" x14ac:dyDescent="0.2">
      <c r="A40" t="s">
        <v>255</v>
      </c>
      <c r="B40" s="15"/>
    </row>
    <row r="41" spans="1:17" x14ac:dyDescent="0.2">
      <c r="A41" t="s">
        <v>256</v>
      </c>
      <c r="B41" s="15"/>
    </row>
    <row r="43" spans="1:17" x14ac:dyDescent="0.2">
      <c r="A43" s="6">
        <v>1</v>
      </c>
      <c r="B43" s="6" t="s">
        <v>13</v>
      </c>
      <c r="C43" s="7"/>
      <c r="D43" s="7"/>
      <c r="E43" s="7"/>
      <c r="F43" s="7"/>
      <c r="G43" s="7"/>
      <c r="H43" s="7"/>
      <c r="I43" s="7"/>
      <c r="J43" s="7"/>
      <c r="K43" s="7"/>
      <c r="L43" s="7"/>
      <c r="M43" s="7"/>
      <c r="N43" s="7"/>
      <c r="O43" s="7"/>
      <c r="P43" s="7"/>
      <c r="Q43" s="7"/>
    </row>
    <row r="45" spans="1:17" x14ac:dyDescent="0.2">
      <c r="A45" t="s">
        <v>14</v>
      </c>
      <c r="B45" t="s">
        <v>15</v>
      </c>
    </row>
    <row r="46" spans="1:17" x14ac:dyDescent="0.2">
      <c r="B46" s="15" t="s">
        <v>16</v>
      </c>
      <c r="C46" t="s">
        <v>363</v>
      </c>
    </row>
    <row r="47" spans="1:17" x14ac:dyDescent="0.2">
      <c r="B47" s="15" t="s">
        <v>17</v>
      </c>
      <c r="C47" t="s">
        <v>362</v>
      </c>
    </row>
    <row r="49" spans="1:3" x14ac:dyDescent="0.2">
      <c r="A49" t="s">
        <v>18</v>
      </c>
      <c r="B49" t="s">
        <v>19</v>
      </c>
    </row>
    <row r="50" spans="1:3" x14ac:dyDescent="0.2">
      <c r="B50" t="s">
        <v>20</v>
      </c>
      <c r="C50" t="s">
        <v>21</v>
      </c>
    </row>
    <row r="51" spans="1:3" x14ac:dyDescent="0.2">
      <c r="C51" t="s">
        <v>22</v>
      </c>
    </row>
    <row r="52" spans="1:3" x14ac:dyDescent="0.2">
      <c r="C52" t="s">
        <v>23</v>
      </c>
    </row>
    <row r="55" spans="1:3" x14ac:dyDescent="0.2">
      <c r="A55" s="1"/>
      <c r="B55" s="1"/>
    </row>
    <row r="56" spans="1:3" x14ac:dyDescent="0.2">
      <c r="A56" s="14"/>
    </row>
    <row r="63" spans="1:3" x14ac:dyDescent="0.2">
      <c r="B63" s="15"/>
    </row>
    <row r="64" spans="1:3" x14ac:dyDescent="0.2">
      <c r="B64" s="15"/>
    </row>
    <row r="72" spans="1:2" x14ac:dyDescent="0.2">
      <c r="A72" s="1"/>
    </row>
    <row r="76" spans="1:2" x14ac:dyDescent="0.2">
      <c r="A76" s="1"/>
      <c r="B76" s="1"/>
    </row>
    <row r="79" spans="1:2" x14ac:dyDescent="0.2">
      <c r="B79" s="15"/>
    </row>
    <row r="80" spans="1:2" x14ac:dyDescent="0.2">
      <c r="B80" s="15"/>
    </row>
    <row r="88" spans="1:2" x14ac:dyDescent="0.2">
      <c r="A88" s="1"/>
      <c r="B88" s="1"/>
    </row>
    <row r="98" spans="1:2" x14ac:dyDescent="0.2">
      <c r="A98" s="1"/>
      <c r="B98" s="1"/>
    </row>
    <row r="109" spans="1:2" x14ac:dyDescent="0.2">
      <c r="A109" s="1"/>
      <c r="B109" s="1"/>
    </row>
    <row r="110" spans="1:2" x14ac:dyDescent="0.2">
      <c r="A110" s="14"/>
    </row>
    <row r="117" spans="1:2" x14ac:dyDescent="0.2">
      <c r="B117" s="15"/>
    </row>
    <row r="118" spans="1:2" x14ac:dyDescent="0.2">
      <c r="B118" s="15"/>
    </row>
    <row r="119" spans="1:2" x14ac:dyDescent="0.2">
      <c r="B119" s="15"/>
    </row>
    <row r="120" spans="1:2" x14ac:dyDescent="0.2">
      <c r="B120" s="15"/>
    </row>
    <row r="121" spans="1:2" x14ac:dyDescent="0.2">
      <c r="A121" s="1"/>
      <c r="B121" s="1"/>
    </row>
    <row r="122" spans="1:2" x14ac:dyDescent="0.2">
      <c r="A122" s="14"/>
    </row>
    <row r="133" spans="1:2" x14ac:dyDescent="0.2">
      <c r="B133" s="1"/>
    </row>
    <row r="134" spans="1:2" x14ac:dyDescent="0.2">
      <c r="B134" s="1"/>
    </row>
    <row r="136" spans="1:2" x14ac:dyDescent="0.2">
      <c r="A136" s="1"/>
    </row>
    <row r="143" spans="1:2" x14ac:dyDescent="0.2">
      <c r="A143" s="1"/>
    </row>
  </sheetData>
  <hyperlinks>
    <hyperlink ref="A3" r:id="rId1" xr:uid="{0D0AE5B0-9A37-4AD5-8F25-BA8BB455EE9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FB0C0-0626-4D03-B3C6-34B523854019}">
  <dimension ref="A22:N47"/>
  <sheetViews>
    <sheetView topLeftCell="A28" zoomScale="143" zoomScaleNormal="100" workbookViewId="0">
      <selection activeCell="B33" sqref="B33"/>
    </sheetView>
  </sheetViews>
  <sheetFormatPr baseColWidth="10" defaultColWidth="11.5" defaultRowHeight="15" x14ac:dyDescent="0.2"/>
  <cols>
    <col min="1" max="1" width="4.1640625" customWidth="1"/>
  </cols>
  <sheetData>
    <row r="22" spans="1:14" x14ac:dyDescent="0.2">
      <c r="A22" t="s">
        <v>24</v>
      </c>
    </row>
    <row r="23" spans="1:14" x14ac:dyDescent="0.2">
      <c r="A23" t="s">
        <v>212</v>
      </c>
    </row>
    <row r="24" spans="1:14" x14ac:dyDescent="0.2">
      <c r="A24" t="s">
        <v>25</v>
      </c>
    </row>
    <row r="25" spans="1:14" x14ac:dyDescent="0.2">
      <c r="A25" s="1"/>
      <c r="B25" s="1"/>
      <c r="C25" s="1"/>
      <c r="D25" s="1"/>
      <c r="E25" s="1"/>
      <c r="F25" s="1"/>
      <c r="G25" s="1"/>
      <c r="H25" s="1"/>
      <c r="I25" s="1"/>
      <c r="J25" s="1"/>
      <c r="K25" s="1"/>
      <c r="L25" s="1"/>
      <c r="M25" s="1"/>
      <c r="N25" s="1"/>
    </row>
    <row r="26" spans="1:14" x14ac:dyDescent="0.2">
      <c r="A26" s="1"/>
      <c r="B26" s="1"/>
      <c r="C26" s="1"/>
      <c r="D26" s="1"/>
      <c r="E26" s="1"/>
      <c r="F26" s="1"/>
      <c r="G26" s="1"/>
      <c r="H26" s="1"/>
      <c r="I26" s="1"/>
      <c r="J26" s="1"/>
      <c r="K26" s="1"/>
      <c r="L26" s="1"/>
      <c r="M26" s="1"/>
      <c r="N26" s="1"/>
    </row>
    <row r="27" spans="1:14" x14ac:dyDescent="0.2">
      <c r="A27" s="6" t="s">
        <v>26</v>
      </c>
      <c r="B27" s="6"/>
      <c r="C27" s="6"/>
      <c r="D27" s="6"/>
      <c r="E27" s="6"/>
      <c r="F27" s="6"/>
      <c r="G27" s="6"/>
      <c r="H27" s="6"/>
      <c r="I27" s="6"/>
      <c r="J27" s="6"/>
      <c r="K27" s="6"/>
      <c r="L27" s="6"/>
      <c r="M27" s="6"/>
      <c r="N27" s="6"/>
    </row>
    <row r="28" spans="1:14" x14ac:dyDescent="0.2">
      <c r="A28" s="14" t="s">
        <v>27</v>
      </c>
    </row>
    <row r="29" spans="1:14" x14ac:dyDescent="0.2">
      <c r="A29">
        <v>1</v>
      </c>
      <c r="B29" t="s">
        <v>28</v>
      </c>
    </row>
    <row r="30" spans="1:14" x14ac:dyDescent="0.2">
      <c r="A30">
        <v>2</v>
      </c>
      <c r="B30" t="s">
        <v>29</v>
      </c>
    </row>
    <row r="31" spans="1:14" x14ac:dyDescent="0.2">
      <c r="A31">
        <v>3</v>
      </c>
      <c r="B31" t="s">
        <v>30</v>
      </c>
    </row>
    <row r="32" spans="1:14" x14ac:dyDescent="0.2">
      <c r="B32" t="s">
        <v>31</v>
      </c>
    </row>
    <row r="33" spans="1:14" x14ac:dyDescent="0.2">
      <c r="B33" t="s">
        <v>213</v>
      </c>
    </row>
    <row r="34" spans="1:14" x14ac:dyDescent="0.2">
      <c r="B34" t="s">
        <v>32</v>
      </c>
    </row>
    <row r="36" spans="1:14" x14ac:dyDescent="0.2">
      <c r="A36" s="6" t="s">
        <v>33</v>
      </c>
      <c r="B36" s="6"/>
      <c r="C36" s="6"/>
      <c r="D36" s="6"/>
      <c r="E36" s="6"/>
      <c r="F36" s="6"/>
      <c r="G36" s="6"/>
      <c r="H36" s="6"/>
      <c r="I36" s="6"/>
      <c r="J36" s="6"/>
      <c r="K36" s="6"/>
      <c r="L36" s="6"/>
      <c r="M36" s="6"/>
      <c r="N36" s="6"/>
    </row>
    <row r="37" spans="1:14" x14ac:dyDescent="0.2">
      <c r="A37" s="14" t="s">
        <v>27</v>
      </c>
    </row>
    <row r="38" spans="1:14" x14ac:dyDescent="0.2">
      <c r="A38">
        <v>1</v>
      </c>
      <c r="B38" t="s">
        <v>28</v>
      </c>
    </row>
    <row r="39" spans="1:14" x14ac:dyDescent="0.2">
      <c r="A39">
        <v>2</v>
      </c>
      <c r="B39" t="s">
        <v>34</v>
      </c>
    </row>
    <row r="40" spans="1:14" x14ac:dyDescent="0.2">
      <c r="A40">
        <v>3</v>
      </c>
      <c r="B40" t="s">
        <v>30</v>
      </c>
    </row>
    <row r="41" spans="1:14" x14ac:dyDescent="0.2">
      <c r="B41" t="s">
        <v>31</v>
      </c>
    </row>
    <row r="42" spans="1:14" x14ac:dyDescent="0.2">
      <c r="B42" t="s">
        <v>213</v>
      </c>
    </row>
    <row r="43" spans="1:14" x14ac:dyDescent="0.2">
      <c r="B43" t="s">
        <v>32</v>
      </c>
    </row>
    <row r="45" spans="1:14" x14ac:dyDescent="0.2">
      <c r="A45" s="6" t="s">
        <v>35</v>
      </c>
      <c r="B45" s="6"/>
      <c r="C45" s="6"/>
      <c r="D45" s="6"/>
      <c r="E45" s="6"/>
      <c r="F45" s="6"/>
      <c r="G45" s="6"/>
      <c r="H45" s="6"/>
      <c r="I45" s="6"/>
      <c r="J45" s="6"/>
      <c r="K45" s="6"/>
      <c r="L45" s="6"/>
      <c r="M45" s="6"/>
      <c r="N45" s="6"/>
    </row>
    <row r="46" spans="1:14" x14ac:dyDescent="0.2">
      <c r="A46" t="s">
        <v>36</v>
      </c>
    </row>
    <row r="47" spans="1:14" x14ac:dyDescent="0.2">
      <c r="A47" t="s">
        <v>37</v>
      </c>
    </row>
  </sheetData>
  <pageMargins left="0.7" right="0.7" top="0.78740157499999996" bottom="0.78740157499999996"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FC4E0-BEBA-43CA-A294-7223974E4CB0}">
  <dimension ref="A1:U102"/>
  <sheetViews>
    <sheetView topLeftCell="A6" zoomScale="130" zoomScaleNormal="130" workbookViewId="0">
      <selection activeCell="C6" sqref="C6"/>
    </sheetView>
  </sheetViews>
  <sheetFormatPr baseColWidth="10" defaultColWidth="11.5" defaultRowHeight="15" x14ac:dyDescent="0.2"/>
  <cols>
    <col min="10" max="10" width="3.83203125" style="8" bestFit="1" customWidth="1"/>
    <col min="11" max="13" width="1.83203125" style="8" bestFit="1" customWidth="1"/>
    <col min="14" max="14" width="2.83203125" style="8" customWidth="1"/>
    <col min="15" max="15" width="1.83203125" style="8" bestFit="1" customWidth="1"/>
    <col min="16" max="16" width="3.83203125" style="8" bestFit="1" customWidth="1"/>
    <col min="17" max="19" width="1.83203125" style="8" bestFit="1" customWidth="1"/>
    <col min="20" max="20" width="3.83203125" style="8" bestFit="1" customWidth="1"/>
  </cols>
  <sheetData>
    <row r="1" spans="1:21" x14ac:dyDescent="0.2">
      <c r="A1" s="1" t="s">
        <v>38</v>
      </c>
      <c r="B1" s="1" t="s">
        <v>39</v>
      </c>
    </row>
    <row r="2" spans="1:21" x14ac:dyDescent="0.2">
      <c r="A2">
        <v>0</v>
      </c>
      <c r="B2" s="17">
        <f>A2*$I$18+$I$19</f>
        <v>-25</v>
      </c>
      <c r="F2" t="s">
        <v>40</v>
      </c>
      <c r="H2" s="10">
        <v>1</v>
      </c>
    </row>
    <row r="3" spans="1:21" x14ac:dyDescent="0.2">
      <c r="A3">
        <v>1</v>
      </c>
      <c r="B3" s="17">
        <f>A3*$I$18+$I$19</f>
        <v>0</v>
      </c>
      <c r="F3" t="s">
        <v>41</v>
      </c>
      <c r="H3" s="10">
        <v>0</v>
      </c>
    </row>
    <row r="4" spans="1:21" x14ac:dyDescent="0.2">
      <c r="A4">
        <v>2</v>
      </c>
      <c r="B4" s="17">
        <f t="shared" ref="B4:B67" si="0">A4*$I$18+$I$19</f>
        <v>25</v>
      </c>
      <c r="F4" t="s">
        <v>42</v>
      </c>
      <c r="H4" s="10">
        <v>5</v>
      </c>
    </row>
    <row r="5" spans="1:21" x14ac:dyDescent="0.2">
      <c r="A5">
        <v>3</v>
      </c>
      <c r="B5" s="17">
        <f t="shared" si="0"/>
        <v>50</v>
      </c>
      <c r="F5" t="s">
        <v>43</v>
      </c>
      <c r="H5" s="10">
        <v>100</v>
      </c>
    </row>
    <row r="6" spans="1:21" x14ac:dyDescent="0.2">
      <c r="A6">
        <v>4</v>
      </c>
      <c r="B6" s="17">
        <f t="shared" si="0"/>
        <v>75</v>
      </c>
    </row>
    <row r="7" spans="1:21" x14ac:dyDescent="0.2">
      <c r="A7">
        <v>5</v>
      </c>
      <c r="B7" s="17">
        <f t="shared" si="0"/>
        <v>100</v>
      </c>
      <c r="J7" s="8" t="s">
        <v>44</v>
      </c>
      <c r="K7" s="8" t="s">
        <v>45</v>
      </c>
      <c r="L7" s="8" t="s">
        <v>46</v>
      </c>
      <c r="M7" s="8" t="s">
        <v>47</v>
      </c>
      <c r="N7" s="8" t="s">
        <v>48</v>
      </c>
      <c r="O7" s="8" t="s">
        <v>49</v>
      </c>
      <c r="P7" s="8" t="s">
        <v>50</v>
      </c>
    </row>
    <row r="8" spans="1:21" x14ac:dyDescent="0.2">
      <c r="A8">
        <v>6</v>
      </c>
      <c r="B8" s="17">
        <f t="shared" si="0"/>
        <v>125</v>
      </c>
      <c r="I8" t="s">
        <v>51</v>
      </c>
      <c r="J8" s="8">
        <f>H3</f>
        <v>0</v>
      </c>
      <c r="K8" s="8" t="s">
        <v>45</v>
      </c>
      <c r="L8" s="8" t="s">
        <v>46</v>
      </c>
      <c r="M8" s="8" t="s">
        <v>47</v>
      </c>
      <c r="N8" s="8" t="s">
        <v>48</v>
      </c>
      <c r="O8" s="8" t="s">
        <v>49</v>
      </c>
      <c r="P8" s="8">
        <f>H2</f>
        <v>1</v>
      </c>
      <c r="U8" s="11" t="s">
        <v>52</v>
      </c>
    </row>
    <row r="9" spans="1:21" x14ac:dyDescent="0.2">
      <c r="A9">
        <v>7</v>
      </c>
      <c r="B9" s="17">
        <f t="shared" si="0"/>
        <v>150</v>
      </c>
      <c r="I9" t="s">
        <v>53</v>
      </c>
      <c r="J9" s="8">
        <f>H5</f>
        <v>100</v>
      </c>
      <c r="K9" s="8" t="s">
        <v>45</v>
      </c>
      <c r="L9" s="8" t="s">
        <v>46</v>
      </c>
      <c r="M9" s="8" t="s">
        <v>47</v>
      </c>
      <c r="N9" s="8" t="s">
        <v>48</v>
      </c>
      <c r="O9" s="8" t="s">
        <v>49</v>
      </c>
      <c r="P9" s="8">
        <f>H4</f>
        <v>5</v>
      </c>
      <c r="U9" s="11" t="s">
        <v>54</v>
      </c>
    </row>
    <row r="10" spans="1:21" x14ac:dyDescent="0.2">
      <c r="A10">
        <v>8</v>
      </c>
      <c r="B10" s="17">
        <f>A10*$I$18+$I$19</f>
        <v>175</v>
      </c>
    </row>
    <row r="11" spans="1:21" x14ac:dyDescent="0.2">
      <c r="A11">
        <v>9</v>
      </c>
      <c r="B11" s="17">
        <f t="shared" si="0"/>
        <v>200</v>
      </c>
      <c r="I11" t="s">
        <v>55</v>
      </c>
      <c r="J11" s="8" t="s">
        <v>46</v>
      </c>
      <c r="K11" s="8" t="s">
        <v>45</v>
      </c>
      <c r="L11" s="8">
        <f>J8</f>
        <v>0</v>
      </c>
      <c r="M11" s="8" t="s">
        <v>56</v>
      </c>
      <c r="N11" s="8">
        <f>P8</f>
        <v>1</v>
      </c>
      <c r="O11" s="8" t="s">
        <v>49</v>
      </c>
      <c r="P11" s="8" t="str">
        <f>N8</f>
        <v>b</v>
      </c>
      <c r="U11" s="12" t="s">
        <v>57</v>
      </c>
    </row>
    <row r="12" spans="1:21" x14ac:dyDescent="0.2">
      <c r="A12">
        <v>10</v>
      </c>
      <c r="B12" s="17">
        <f t="shared" si="0"/>
        <v>225</v>
      </c>
    </row>
    <row r="13" spans="1:21" x14ac:dyDescent="0.2">
      <c r="A13">
        <v>11</v>
      </c>
      <c r="B13" s="17">
        <f t="shared" si="0"/>
        <v>250</v>
      </c>
    </row>
    <row r="14" spans="1:21" x14ac:dyDescent="0.2">
      <c r="A14">
        <v>12</v>
      </c>
      <c r="B14" s="17">
        <f t="shared" si="0"/>
        <v>275</v>
      </c>
      <c r="I14" t="s">
        <v>58</v>
      </c>
      <c r="J14" s="8">
        <f>J9</f>
        <v>100</v>
      </c>
      <c r="K14" s="8" t="s">
        <v>45</v>
      </c>
      <c r="L14" s="8">
        <f>L11</f>
        <v>0</v>
      </c>
      <c r="M14" s="8" t="str">
        <f>M11</f>
        <v>-</v>
      </c>
      <c r="N14" s="8">
        <f>N11</f>
        <v>1</v>
      </c>
      <c r="O14" s="8" t="str">
        <f>O11</f>
        <v>*</v>
      </c>
      <c r="P14" s="8" t="str">
        <f>P11</f>
        <v>b</v>
      </c>
      <c r="Q14" s="8" t="str">
        <f>M9</f>
        <v>+</v>
      </c>
      <c r="R14" s="8" t="str">
        <f>N9</f>
        <v>b</v>
      </c>
      <c r="S14" s="8" t="str">
        <f>O9</f>
        <v>*</v>
      </c>
      <c r="T14" s="8">
        <f>P9</f>
        <v>5</v>
      </c>
    </row>
    <row r="15" spans="1:21" x14ac:dyDescent="0.2">
      <c r="A15">
        <v>13</v>
      </c>
      <c r="B15" s="17">
        <f t="shared" si="0"/>
        <v>300</v>
      </c>
      <c r="J15" s="8">
        <f>J14</f>
        <v>100</v>
      </c>
      <c r="K15" s="8" t="str">
        <f>K14</f>
        <v>=</v>
      </c>
      <c r="L15" s="8">
        <f>L14</f>
        <v>0</v>
      </c>
      <c r="M15" s="8" t="str">
        <f>IF(N15&gt;0,"+","-")</f>
        <v>+</v>
      </c>
      <c r="N15" s="8">
        <f>N14*IF(N14&lt;T14,-1,1)+T14</f>
        <v>4</v>
      </c>
      <c r="O15" s="8" t="s">
        <v>49</v>
      </c>
      <c r="P15" s="8" t="s">
        <v>48</v>
      </c>
    </row>
    <row r="16" spans="1:21" x14ac:dyDescent="0.2">
      <c r="A16">
        <v>14</v>
      </c>
      <c r="B16" s="17">
        <f t="shared" si="0"/>
        <v>325</v>
      </c>
      <c r="C16" s="18" t="s">
        <v>59</v>
      </c>
      <c r="D16" s="16"/>
      <c r="E16" s="16"/>
      <c r="L16" s="13"/>
    </row>
    <row r="17" spans="1:9" x14ac:dyDescent="0.2">
      <c r="A17">
        <v>15</v>
      </c>
      <c r="B17" s="9">
        <f t="shared" si="0"/>
        <v>350</v>
      </c>
    </row>
    <row r="18" spans="1:9" x14ac:dyDescent="0.2">
      <c r="A18">
        <v>16</v>
      </c>
      <c r="B18" s="9">
        <f t="shared" si="0"/>
        <v>375</v>
      </c>
      <c r="G18" t="s">
        <v>48</v>
      </c>
      <c r="H18" t="s">
        <v>45</v>
      </c>
      <c r="I18">
        <f>(J15-L15)/N15</f>
        <v>25</v>
      </c>
    </row>
    <row r="19" spans="1:9" x14ac:dyDescent="0.2">
      <c r="A19">
        <v>17</v>
      </c>
      <c r="B19" s="9">
        <f t="shared" si="0"/>
        <v>400</v>
      </c>
      <c r="G19" t="s">
        <v>46</v>
      </c>
      <c r="H19" t="s">
        <v>45</v>
      </c>
      <c r="I19">
        <f>L11-N11*I18</f>
        <v>-25</v>
      </c>
    </row>
    <row r="20" spans="1:9" x14ac:dyDescent="0.2">
      <c r="A20">
        <v>18</v>
      </c>
      <c r="B20" s="9">
        <f t="shared" si="0"/>
        <v>425</v>
      </c>
    </row>
    <row r="21" spans="1:9" x14ac:dyDescent="0.2">
      <c r="A21">
        <v>19</v>
      </c>
      <c r="B21" s="9">
        <f t="shared" si="0"/>
        <v>450</v>
      </c>
    </row>
    <row r="22" spans="1:9" x14ac:dyDescent="0.2">
      <c r="A22">
        <v>20</v>
      </c>
      <c r="B22" s="9">
        <f t="shared" si="0"/>
        <v>475</v>
      </c>
    </row>
    <row r="23" spans="1:9" x14ac:dyDescent="0.2">
      <c r="A23">
        <v>21</v>
      </c>
      <c r="B23" s="9">
        <f t="shared" si="0"/>
        <v>500</v>
      </c>
    </row>
    <row r="24" spans="1:9" x14ac:dyDescent="0.2">
      <c r="A24">
        <v>22</v>
      </c>
      <c r="B24" s="9">
        <f t="shared" si="0"/>
        <v>525</v>
      </c>
    </row>
    <row r="25" spans="1:9" x14ac:dyDescent="0.2">
      <c r="A25">
        <v>23</v>
      </c>
      <c r="B25" s="9">
        <f t="shared" si="0"/>
        <v>550</v>
      </c>
    </row>
    <row r="26" spans="1:9" x14ac:dyDescent="0.2">
      <c r="A26">
        <v>24</v>
      </c>
      <c r="B26" s="9">
        <f t="shared" si="0"/>
        <v>575</v>
      </c>
    </row>
    <row r="27" spans="1:9" x14ac:dyDescent="0.2">
      <c r="A27">
        <v>25</v>
      </c>
      <c r="B27" s="9">
        <f t="shared" si="0"/>
        <v>600</v>
      </c>
    </row>
    <row r="28" spans="1:9" x14ac:dyDescent="0.2">
      <c r="A28">
        <v>26</v>
      </c>
      <c r="B28" s="9">
        <f t="shared" si="0"/>
        <v>625</v>
      </c>
    </row>
    <row r="29" spans="1:9" x14ac:dyDescent="0.2">
      <c r="A29">
        <v>27</v>
      </c>
      <c r="B29" s="9">
        <f t="shared" si="0"/>
        <v>650</v>
      </c>
    </row>
    <row r="30" spans="1:9" x14ac:dyDescent="0.2">
      <c r="A30">
        <v>28</v>
      </c>
      <c r="B30" s="9">
        <f t="shared" si="0"/>
        <v>675</v>
      </c>
    </row>
    <row r="31" spans="1:9" x14ac:dyDescent="0.2">
      <c r="A31">
        <v>29</v>
      </c>
      <c r="B31" s="9">
        <f t="shared" si="0"/>
        <v>700</v>
      </c>
    </row>
    <row r="32" spans="1:9" x14ac:dyDescent="0.2">
      <c r="A32">
        <v>30</v>
      </c>
      <c r="B32" s="9">
        <f t="shared" si="0"/>
        <v>725</v>
      </c>
    </row>
    <row r="33" spans="1:2" x14ac:dyDescent="0.2">
      <c r="A33">
        <v>31</v>
      </c>
      <c r="B33" s="9">
        <f t="shared" si="0"/>
        <v>750</v>
      </c>
    </row>
    <row r="34" spans="1:2" x14ac:dyDescent="0.2">
      <c r="A34">
        <v>32</v>
      </c>
      <c r="B34" s="9">
        <f t="shared" si="0"/>
        <v>775</v>
      </c>
    </row>
    <row r="35" spans="1:2" x14ac:dyDescent="0.2">
      <c r="A35">
        <v>33</v>
      </c>
      <c r="B35" s="9">
        <f t="shared" si="0"/>
        <v>800</v>
      </c>
    </row>
    <row r="36" spans="1:2" x14ac:dyDescent="0.2">
      <c r="A36">
        <v>34</v>
      </c>
      <c r="B36" s="9">
        <f t="shared" si="0"/>
        <v>825</v>
      </c>
    </row>
    <row r="37" spans="1:2" x14ac:dyDescent="0.2">
      <c r="A37">
        <v>35</v>
      </c>
      <c r="B37" s="9">
        <f t="shared" si="0"/>
        <v>850</v>
      </c>
    </row>
    <row r="38" spans="1:2" x14ac:dyDescent="0.2">
      <c r="A38">
        <v>36</v>
      </c>
      <c r="B38" s="9">
        <f t="shared" si="0"/>
        <v>875</v>
      </c>
    </row>
    <row r="39" spans="1:2" x14ac:dyDescent="0.2">
      <c r="A39">
        <v>37</v>
      </c>
      <c r="B39" s="9">
        <f t="shared" si="0"/>
        <v>900</v>
      </c>
    </row>
    <row r="40" spans="1:2" x14ac:dyDescent="0.2">
      <c r="A40">
        <v>38</v>
      </c>
      <c r="B40" s="9">
        <f t="shared" si="0"/>
        <v>925</v>
      </c>
    </row>
    <row r="41" spans="1:2" x14ac:dyDescent="0.2">
      <c r="A41">
        <v>39</v>
      </c>
      <c r="B41" s="9">
        <f t="shared" si="0"/>
        <v>950</v>
      </c>
    </row>
    <row r="42" spans="1:2" x14ac:dyDescent="0.2">
      <c r="A42">
        <v>40</v>
      </c>
      <c r="B42" s="9">
        <f t="shared" si="0"/>
        <v>975</v>
      </c>
    </row>
    <row r="43" spans="1:2" x14ac:dyDescent="0.2">
      <c r="A43">
        <v>41</v>
      </c>
      <c r="B43" s="9">
        <f t="shared" si="0"/>
        <v>1000</v>
      </c>
    </row>
    <row r="44" spans="1:2" x14ac:dyDescent="0.2">
      <c r="A44">
        <v>42</v>
      </c>
      <c r="B44" s="9">
        <f t="shared" si="0"/>
        <v>1025</v>
      </c>
    </row>
    <row r="45" spans="1:2" x14ac:dyDescent="0.2">
      <c r="A45">
        <v>43</v>
      </c>
      <c r="B45" s="9">
        <f t="shared" si="0"/>
        <v>1050</v>
      </c>
    </row>
    <row r="46" spans="1:2" x14ac:dyDescent="0.2">
      <c r="A46">
        <v>44</v>
      </c>
      <c r="B46" s="9">
        <f t="shared" si="0"/>
        <v>1075</v>
      </c>
    </row>
    <row r="47" spans="1:2" x14ac:dyDescent="0.2">
      <c r="A47">
        <v>45</v>
      </c>
      <c r="B47" s="9">
        <f t="shared" si="0"/>
        <v>1100</v>
      </c>
    </row>
    <row r="48" spans="1:2" x14ac:dyDescent="0.2">
      <c r="A48">
        <v>46</v>
      </c>
      <c r="B48" s="9">
        <f t="shared" si="0"/>
        <v>1125</v>
      </c>
    </row>
    <row r="49" spans="1:2" x14ac:dyDescent="0.2">
      <c r="A49">
        <v>47</v>
      </c>
      <c r="B49" s="9">
        <f t="shared" si="0"/>
        <v>1150</v>
      </c>
    </row>
    <row r="50" spans="1:2" x14ac:dyDescent="0.2">
      <c r="A50">
        <v>48</v>
      </c>
      <c r="B50" s="9">
        <f t="shared" si="0"/>
        <v>1175</v>
      </c>
    </row>
    <row r="51" spans="1:2" x14ac:dyDescent="0.2">
      <c r="A51">
        <v>49</v>
      </c>
      <c r="B51" s="9">
        <f t="shared" si="0"/>
        <v>1200</v>
      </c>
    </row>
    <row r="52" spans="1:2" x14ac:dyDescent="0.2">
      <c r="A52">
        <v>50</v>
      </c>
      <c r="B52" s="9">
        <f t="shared" si="0"/>
        <v>1225</v>
      </c>
    </row>
    <row r="53" spans="1:2" x14ac:dyDescent="0.2">
      <c r="A53">
        <v>51</v>
      </c>
      <c r="B53" s="9">
        <f t="shared" si="0"/>
        <v>1250</v>
      </c>
    </row>
    <row r="54" spans="1:2" x14ac:dyDescent="0.2">
      <c r="A54">
        <v>52</v>
      </c>
      <c r="B54" s="9">
        <f t="shared" si="0"/>
        <v>1275</v>
      </c>
    </row>
    <row r="55" spans="1:2" x14ac:dyDescent="0.2">
      <c r="A55">
        <v>53</v>
      </c>
      <c r="B55" s="9">
        <f t="shared" si="0"/>
        <v>1300</v>
      </c>
    </row>
    <row r="56" spans="1:2" x14ac:dyDescent="0.2">
      <c r="A56">
        <v>54</v>
      </c>
      <c r="B56" s="9">
        <f t="shared" si="0"/>
        <v>1325</v>
      </c>
    </row>
    <row r="57" spans="1:2" x14ac:dyDescent="0.2">
      <c r="A57">
        <v>55</v>
      </c>
      <c r="B57" s="9">
        <f t="shared" si="0"/>
        <v>1350</v>
      </c>
    </row>
    <row r="58" spans="1:2" x14ac:dyDescent="0.2">
      <c r="A58">
        <v>56</v>
      </c>
      <c r="B58" s="9">
        <f t="shared" si="0"/>
        <v>1375</v>
      </c>
    </row>
    <row r="59" spans="1:2" x14ac:dyDescent="0.2">
      <c r="A59">
        <v>57</v>
      </c>
      <c r="B59" s="9">
        <f t="shared" si="0"/>
        <v>1400</v>
      </c>
    </row>
    <row r="60" spans="1:2" x14ac:dyDescent="0.2">
      <c r="A60">
        <v>58</v>
      </c>
      <c r="B60" s="9">
        <f t="shared" si="0"/>
        <v>1425</v>
      </c>
    </row>
    <row r="61" spans="1:2" x14ac:dyDescent="0.2">
      <c r="A61">
        <v>59</v>
      </c>
      <c r="B61" s="9">
        <f t="shared" si="0"/>
        <v>1450</v>
      </c>
    </row>
    <row r="62" spans="1:2" x14ac:dyDescent="0.2">
      <c r="A62">
        <v>60</v>
      </c>
      <c r="B62" s="9">
        <f t="shared" si="0"/>
        <v>1475</v>
      </c>
    </row>
    <row r="63" spans="1:2" x14ac:dyDescent="0.2">
      <c r="A63">
        <v>61</v>
      </c>
      <c r="B63" s="9">
        <f t="shared" si="0"/>
        <v>1500</v>
      </c>
    </row>
    <row r="64" spans="1:2" x14ac:dyDescent="0.2">
      <c r="A64">
        <v>62</v>
      </c>
      <c r="B64" s="9">
        <f t="shared" si="0"/>
        <v>1525</v>
      </c>
    </row>
    <row r="65" spans="1:2" x14ac:dyDescent="0.2">
      <c r="A65">
        <v>63</v>
      </c>
      <c r="B65" s="9">
        <f t="shared" si="0"/>
        <v>1550</v>
      </c>
    </row>
    <row r="66" spans="1:2" x14ac:dyDescent="0.2">
      <c r="A66">
        <v>64</v>
      </c>
      <c r="B66" s="9">
        <f t="shared" si="0"/>
        <v>1575</v>
      </c>
    </row>
    <row r="67" spans="1:2" x14ac:dyDescent="0.2">
      <c r="A67">
        <v>65</v>
      </c>
      <c r="B67" s="9">
        <f t="shared" si="0"/>
        <v>1600</v>
      </c>
    </row>
    <row r="68" spans="1:2" x14ac:dyDescent="0.2">
      <c r="A68">
        <v>66</v>
      </c>
      <c r="B68" s="9">
        <f t="shared" ref="B68:B102" si="1">A68*$I$18+$I$19</f>
        <v>1625</v>
      </c>
    </row>
    <row r="69" spans="1:2" x14ac:dyDescent="0.2">
      <c r="A69">
        <v>67</v>
      </c>
      <c r="B69" s="9">
        <f t="shared" si="1"/>
        <v>1650</v>
      </c>
    </row>
    <row r="70" spans="1:2" x14ac:dyDescent="0.2">
      <c r="A70">
        <v>68</v>
      </c>
      <c r="B70" s="9">
        <f t="shared" si="1"/>
        <v>1675</v>
      </c>
    </row>
    <row r="71" spans="1:2" x14ac:dyDescent="0.2">
      <c r="A71">
        <v>69</v>
      </c>
      <c r="B71" s="9">
        <f t="shared" si="1"/>
        <v>1700</v>
      </c>
    </row>
    <row r="72" spans="1:2" x14ac:dyDescent="0.2">
      <c r="A72">
        <v>70</v>
      </c>
      <c r="B72" s="9">
        <f t="shared" si="1"/>
        <v>1725</v>
      </c>
    </row>
    <row r="73" spans="1:2" x14ac:dyDescent="0.2">
      <c r="A73">
        <v>71</v>
      </c>
      <c r="B73" s="9">
        <f t="shared" si="1"/>
        <v>1750</v>
      </c>
    </row>
    <row r="74" spans="1:2" x14ac:dyDescent="0.2">
      <c r="A74">
        <v>72</v>
      </c>
      <c r="B74" s="9">
        <f t="shared" si="1"/>
        <v>1775</v>
      </c>
    </row>
    <row r="75" spans="1:2" x14ac:dyDescent="0.2">
      <c r="A75">
        <v>73</v>
      </c>
      <c r="B75" s="9">
        <f t="shared" si="1"/>
        <v>1800</v>
      </c>
    </row>
    <row r="76" spans="1:2" x14ac:dyDescent="0.2">
      <c r="A76">
        <v>74</v>
      </c>
      <c r="B76" s="9">
        <f t="shared" si="1"/>
        <v>1825</v>
      </c>
    </row>
    <row r="77" spans="1:2" x14ac:dyDescent="0.2">
      <c r="A77">
        <v>75</v>
      </c>
      <c r="B77" s="9">
        <f t="shared" si="1"/>
        <v>1850</v>
      </c>
    </row>
    <row r="78" spans="1:2" x14ac:dyDescent="0.2">
      <c r="A78">
        <v>76</v>
      </c>
      <c r="B78" s="9">
        <f t="shared" si="1"/>
        <v>1875</v>
      </c>
    </row>
    <row r="79" spans="1:2" x14ac:dyDescent="0.2">
      <c r="A79">
        <v>77</v>
      </c>
      <c r="B79" s="9">
        <f t="shared" si="1"/>
        <v>1900</v>
      </c>
    </row>
    <row r="80" spans="1:2" x14ac:dyDescent="0.2">
      <c r="A80">
        <v>78</v>
      </c>
      <c r="B80" s="9">
        <f t="shared" si="1"/>
        <v>1925</v>
      </c>
    </row>
    <row r="81" spans="1:2" x14ac:dyDescent="0.2">
      <c r="A81">
        <v>79</v>
      </c>
      <c r="B81" s="9">
        <f t="shared" si="1"/>
        <v>1950</v>
      </c>
    </row>
    <row r="82" spans="1:2" x14ac:dyDescent="0.2">
      <c r="A82">
        <v>80</v>
      </c>
      <c r="B82" s="9">
        <f t="shared" si="1"/>
        <v>1975</v>
      </c>
    </row>
    <row r="83" spans="1:2" x14ac:dyDescent="0.2">
      <c r="A83">
        <v>81</v>
      </c>
      <c r="B83" s="9">
        <f t="shared" si="1"/>
        <v>2000</v>
      </c>
    </row>
    <row r="84" spans="1:2" x14ac:dyDescent="0.2">
      <c r="A84">
        <v>82</v>
      </c>
      <c r="B84" s="9">
        <f t="shared" si="1"/>
        <v>2025</v>
      </c>
    </row>
    <row r="85" spans="1:2" x14ac:dyDescent="0.2">
      <c r="A85">
        <v>83</v>
      </c>
      <c r="B85" s="9">
        <f t="shared" si="1"/>
        <v>2050</v>
      </c>
    </row>
    <row r="86" spans="1:2" x14ac:dyDescent="0.2">
      <c r="A86">
        <v>84</v>
      </c>
      <c r="B86" s="9">
        <f t="shared" si="1"/>
        <v>2075</v>
      </c>
    </row>
    <row r="87" spans="1:2" x14ac:dyDescent="0.2">
      <c r="A87">
        <v>85</v>
      </c>
      <c r="B87" s="9">
        <f t="shared" si="1"/>
        <v>2100</v>
      </c>
    </row>
    <row r="88" spans="1:2" x14ac:dyDescent="0.2">
      <c r="A88">
        <v>86</v>
      </c>
      <c r="B88" s="9">
        <f t="shared" si="1"/>
        <v>2125</v>
      </c>
    </row>
    <row r="89" spans="1:2" x14ac:dyDescent="0.2">
      <c r="A89">
        <v>87</v>
      </c>
      <c r="B89" s="9">
        <f t="shared" si="1"/>
        <v>2150</v>
      </c>
    </row>
    <row r="90" spans="1:2" x14ac:dyDescent="0.2">
      <c r="A90">
        <v>88</v>
      </c>
      <c r="B90" s="9">
        <f t="shared" si="1"/>
        <v>2175</v>
      </c>
    </row>
    <row r="91" spans="1:2" x14ac:dyDescent="0.2">
      <c r="A91">
        <v>89</v>
      </c>
      <c r="B91" s="9">
        <f t="shared" si="1"/>
        <v>2200</v>
      </c>
    </row>
    <row r="92" spans="1:2" x14ac:dyDescent="0.2">
      <c r="A92">
        <v>90</v>
      </c>
      <c r="B92" s="9">
        <f t="shared" si="1"/>
        <v>2225</v>
      </c>
    </row>
    <row r="93" spans="1:2" x14ac:dyDescent="0.2">
      <c r="A93">
        <v>91</v>
      </c>
      <c r="B93" s="9">
        <f t="shared" si="1"/>
        <v>2250</v>
      </c>
    </row>
    <row r="94" spans="1:2" x14ac:dyDescent="0.2">
      <c r="A94">
        <v>92</v>
      </c>
      <c r="B94" s="9">
        <f t="shared" si="1"/>
        <v>2275</v>
      </c>
    </row>
    <row r="95" spans="1:2" x14ac:dyDescent="0.2">
      <c r="A95">
        <v>93</v>
      </c>
      <c r="B95" s="9">
        <f t="shared" si="1"/>
        <v>2300</v>
      </c>
    </row>
    <row r="96" spans="1:2" x14ac:dyDescent="0.2">
      <c r="A96">
        <v>94</v>
      </c>
      <c r="B96" s="9">
        <f t="shared" si="1"/>
        <v>2325</v>
      </c>
    </row>
    <row r="97" spans="1:2" x14ac:dyDescent="0.2">
      <c r="A97">
        <v>95</v>
      </c>
      <c r="B97" s="9">
        <f t="shared" si="1"/>
        <v>2350</v>
      </c>
    </row>
    <row r="98" spans="1:2" x14ac:dyDescent="0.2">
      <c r="A98">
        <v>96</v>
      </c>
      <c r="B98" s="9">
        <f t="shared" si="1"/>
        <v>2375</v>
      </c>
    </row>
    <row r="99" spans="1:2" x14ac:dyDescent="0.2">
      <c r="A99">
        <v>97</v>
      </c>
      <c r="B99" s="9">
        <f t="shared" si="1"/>
        <v>2400</v>
      </c>
    </row>
    <row r="100" spans="1:2" x14ac:dyDescent="0.2">
      <c r="A100">
        <v>98</v>
      </c>
      <c r="B100" s="9">
        <f t="shared" si="1"/>
        <v>2425</v>
      </c>
    </row>
    <row r="101" spans="1:2" x14ac:dyDescent="0.2">
      <c r="A101">
        <v>99</v>
      </c>
      <c r="B101" s="9">
        <f t="shared" si="1"/>
        <v>2450</v>
      </c>
    </row>
    <row r="102" spans="1:2" x14ac:dyDescent="0.2">
      <c r="A102">
        <v>100</v>
      </c>
      <c r="B102" s="9">
        <f t="shared" si="1"/>
        <v>2475</v>
      </c>
    </row>
  </sheetData>
  <pageMargins left="0.7" right="0.7" top="0.78740157499999996" bottom="0.78740157499999996"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B8C2A-1453-FB4D-9CBD-FB2B6132C2D6}">
  <dimension ref="A1:I75"/>
  <sheetViews>
    <sheetView zoomScale="143" workbookViewId="0">
      <selection activeCell="D2" sqref="D2:D72"/>
    </sheetView>
  </sheetViews>
  <sheetFormatPr baseColWidth="10" defaultRowHeight="15" x14ac:dyDescent="0.2"/>
  <cols>
    <col min="1" max="1" width="27.1640625" bestFit="1" customWidth="1"/>
    <col min="2" max="2" width="22" bestFit="1" customWidth="1"/>
    <col min="4" max="4" width="97" bestFit="1" customWidth="1"/>
    <col min="5" max="5" width="69.1640625" bestFit="1" customWidth="1"/>
  </cols>
  <sheetData>
    <row r="1" spans="1:9" ht="17" thickBot="1" x14ac:dyDescent="0.25">
      <c r="A1" s="19" t="s">
        <v>214</v>
      </c>
      <c r="B1" s="20" t="s">
        <v>204</v>
      </c>
      <c r="C1" s="20" t="s">
        <v>205</v>
      </c>
      <c r="D1" s="20" t="s">
        <v>206</v>
      </c>
      <c r="E1" s="20" t="s">
        <v>252</v>
      </c>
      <c r="F1" s="23"/>
      <c r="G1" s="23"/>
      <c r="H1" s="23"/>
      <c r="I1" s="23"/>
    </row>
    <row r="2" spans="1:9" ht="17" thickTop="1" x14ac:dyDescent="0.2">
      <c r="A2" s="21" t="s">
        <v>60</v>
      </c>
      <c r="B2" s="22" t="s">
        <v>191</v>
      </c>
      <c r="C2" s="22" t="s">
        <v>62</v>
      </c>
      <c r="D2" s="22" t="s">
        <v>66</v>
      </c>
      <c r="E2" s="22"/>
      <c r="F2" s="23"/>
      <c r="G2" s="23"/>
      <c r="H2" s="23"/>
      <c r="I2" s="23"/>
    </row>
    <row r="3" spans="1:9" ht="16" x14ac:dyDescent="0.2">
      <c r="A3" s="24" t="s">
        <v>60</v>
      </c>
      <c r="B3" s="25" t="s">
        <v>135</v>
      </c>
      <c r="C3" s="25" t="s">
        <v>62</v>
      </c>
      <c r="D3" s="25" t="s">
        <v>68</v>
      </c>
      <c r="E3" s="25"/>
      <c r="F3" s="23"/>
      <c r="G3" s="23"/>
      <c r="H3" s="23"/>
      <c r="I3" s="23"/>
    </row>
    <row r="4" spans="1:9" ht="16" x14ac:dyDescent="0.2">
      <c r="A4" s="21" t="s">
        <v>60</v>
      </c>
      <c r="B4" s="22" t="s">
        <v>139</v>
      </c>
      <c r="C4" s="22" t="s">
        <v>62</v>
      </c>
      <c r="D4" s="22" t="s">
        <v>69</v>
      </c>
      <c r="E4" s="22"/>
      <c r="F4" s="23"/>
      <c r="G4" s="23"/>
      <c r="H4" s="23"/>
      <c r="I4" s="23"/>
    </row>
    <row r="5" spans="1:9" ht="16" x14ac:dyDescent="0.2">
      <c r="A5" s="24" t="s">
        <v>60</v>
      </c>
      <c r="B5" s="25" t="s">
        <v>141</v>
      </c>
      <c r="C5" s="25" t="s">
        <v>62</v>
      </c>
      <c r="D5" s="25" t="s">
        <v>70</v>
      </c>
      <c r="E5" s="25"/>
      <c r="F5" s="23"/>
      <c r="G5" s="23"/>
      <c r="H5" s="23"/>
      <c r="I5" s="26"/>
    </row>
    <row r="6" spans="1:9" ht="16" x14ac:dyDescent="0.2">
      <c r="A6" s="21" t="s">
        <v>60</v>
      </c>
      <c r="B6" s="22" t="s">
        <v>143</v>
      </c>
      <c r="C6" s="22" t="s">
        <v>71</v>
      </c>
      <c r="D6" s="22" t="s">
        <v>72</v>
      </c>
      <c r="E6" s="22"/>
      <c r="F6" s="23"/>
      <c r="G6" s="23"/>
      <c r="H6" s="23"/>
      <c r="I6" s="23"/>
    </row>
    <row r="7" spans="1:9" ht="16" x14ac:dyDescent="0.2">
      <c r="A7" s="24" t="s">
        <v>60</v>
      </c>
      <c r="B7" s="25" t="s">
        <v>144</v>
      </c>
      <c r="C7" s="25" t="s">
        <v>62</v>
      </c>
      <c r="D7" s="25" t="s">
        <v>73</v>
      </c>
      <c r="E7" s="25"/>
      <c r="F7" s="23"/>
      <c r="G7" s="23"/>
      <c r="H7" s="23"/>
      <c r="I7" s="23"/>
    </row>
    <row r="8" spans="1:9" ht="16" x14ac:dyDescent="0.2">
      <c r="A8" s="21" t="s">
        <v>60</v>
      </c>
      <c r="B8" s="22" t="s">
        <v>120</v>
      </c>
      <c r="C8" s="22" t="s">
        <v>71</v>
      </c>
      <c r="D8" s="22" t="s">
        <v>74</v>
      </c>
      <c r="E8" s="22"/>
      <c r="F8" s="23"/>
      <c r="G8" s="23"/>
      <c r="H8" s="23"/>
      <c r="I8" s="23"/>
    </row>
    <row r="9" spans="1:9" ht="16" x14ac:dyDescent="0.2">
      <c r="A9" s="24" t="s">
        <v>60</v>
      </c>
      <c r="B9" s="25" t="s">
        <v>147</v>
      </c>
      <c r="C9" s="25" t="s">
        <v>62</v>
      </c>
      <c r="D9" s="25" t="s">
        <v>216</v>
      </c>
      <c r="E9" s="25"/>
      <c r="F9" s="23"/>
      <c r="G9" s="23"/>
      <c r="H9" s="23"/>
      <c r="I9" s="23"/>
    </row>
    <row r="10" spans="1:9" ht="16" x14ac:dyDescent="0.2">
      <c r="A10" s="21" t="s">
        <v>60</v>
      </c>
      <c r="B10" s="22" t="s">
        <v>134</v>
      </c>
      <c r="C10" s="22" t="s">
        <v>62</v>
      </c>
      <c r="D10" s="22" t="s">
        <v>65</v>
      </c>
      <c r="E10" s="22"/>
      <c r="F10" s="23"/>
      <c r="G10" s="23"/>
      <c r="H10" s="23"/>
      <c r="I10" s="23"/>
    </row>
    <row r="11" spans="1:9" ht="16" x14ac:dyDescent="0.2">
      <c r="A11" s="24" t="s">
        <v>60</v>
      </c>
      <c r="B11" s="25" t="s">
        <v>137</v>
      </c>
      <c r="C11" s="25" t="s">
        <v>62</v>
      </c>
      <c r="D11" s="25" t="s">
        <v>67</v>
      </c>
      <c r="E11" s="25"/>
      <c r="F11" s="23"/>
      <c r="G11" s="23"/>
      <c r="H11" s="23"/>
      <c r="I11" s="23"/>
    </row>
    <row r="12" spans="1:9" ht="16" x14ac:dyDescent="0.2">
      <c r="A12" s="21" t="s">
        <v>60</v>
      </c>
      <c r="B12" s="22" t="s">
        <v>217</v>
      </c>
      <c r="C12" s="22" t="s">
        <v>62</v>
      </c>
      <c r="D12" s="22" t="s">
        <v>64</v>
      </c>
      <c r="E12" s="22"/>
      <c r="F12" s="23"/>
      <c r="G12" s="23"/>
      <c r="H12" s="23"/>
      <c r="I12" s="23"/>
    </row>
    <row r="13" spans="1:9" ht="16" x14ac:dyDescent="0.2">
      <c r="A13" s="24" t="s">
        <v>60</v>
      </c>
      <c r="B13" s="25" t="s">
        <v>218</v>
      </c>
      <c r="C13" s="25" t="s">
        <v>71</v>
      </c>
      <c r="D13" s="25" t="s">
        <v>219</v>
      </c>
      <c r="E13" s="25"/>
      <c r="F13" s="23"/>
      <c r="G13" s="23"/>
      <c r="H13" s="23"/>
      <c r="I13" s="23"/>
    </row>
    <row r="14" spans="1:9" ht="16" x14ac:dyDescent="0.2">
      <c r="A14" s="21" t="s">
        <v>75</v>
      </c>
      <c r="B14" s="22" t="s">
        <v>76</v>
      </c>
      <c r="C14" s="22" t="s">
        <v>62</v>
      </c>
      <c r="D14" s="22" t="s">
        <v>77</v>
      </c>
      <c r="E14" s="22"/>
      <c r="F14" s="23"/>
      <c r="G14" s="23"/>
      <c r="H14" s="23"/>
      <c r="I14" s="23"/>
    </row>
    <row r="15" spans="1:9" ht="16" x14ac:dyDescent="0.2">
      <c r="A15" s="24" t="s">
        <v>75</v>
      </c>
      <c r="B15" s="25" t="s">
        <v>188</v>
      </c>
      <c r="C15" s="25" t="s">
        <v>62</v>
      </c>
      <c r="D15" s="25" t="s">
        <v>95</v>
      </c>
      <c r="E15" s="25"/>
      <c r="F15" s="23"/>
      <c r="G15" s="23"/>
      <c r="H15" s="23"/>
      <c r="I15" s="23"/>
    </row>
    <row r="16" spans="1:9" ht="16" x14ac:dyDescent="0.2">
      <c r="A16" s="21" t="s">
        <v>75</v>
      </c>
      <c r="B16" s="22" t="s">
        <v>200</v>
      </c>
      <c r="C16" s="22" t="s">
        <v>62</v>
      </c>
      <c r="D16" s="22" t="s">
        <v>97</v>
      </c>
      <c r="E16" s="22"/>
      <c r="F16" s="23"/>
      <c r="G16" s="23"/>
      <c r="H16" s="23"/>
      <c r="I16" s="23"/>
    </row>
    <row r="17" spans="1:9" ht="16" x14ac:dyDescent="0.2">
      <c r="A17" s="24" t="s">
        <v>75</v>
      </c>
      <c r="B17" s="25" t="s">
        <v>78</v>
      </c>
      <c r="C17" s="25" t="s">
        <v>62</v>
      </c>
      <c r="D17" s="25" t="s">
        <v>79</v>
      </c>
      <c r="E17" s="25"/>
      <c r="F17" s="23"/>
      <c r="G17" s="23"/>
      <c r="H17" s="23"/>
      <c r="I17" s="23"/>
    </row>
    <row r="18" spans="1:9" ht="16" x14ac:dyDescent="0.2">
      <c r="A18" s="21" t="s">
        <v>75</v>
      </c>
      <c r="B18" s="22" t="s">
        <v>80</v>
      </c>
      <c r="C18" s="22" t="s">
        <v>62</v>
      </c>
      <c r="D18" s="22" t="s">
        <v>81</v>
      </c>
      <c r="E18" s="22"/>
      <c r="F18" s="23"/>
      <c r="G18" s="23"/>
      <c r="H18" s="23"/>
      <c r="I18" s="23"/>
    </row>
    <row r="19" spans="1:9" ht="16" x14ac:dyDescent="0.2">
      <c r="A19" s="24" t="s">
        <v>75</v>
      </c>
      <c r="B19" s="25" t="s">
        <v>82</v>
      </c>
      <c r="C19" s="25" t="s">
        <v>62</v>
      </c>
      <c r="D19" s="25" t="s">
        <v>83</v>
      </c>
      <c r="E19" s="25"/>
      <c r="F19" s="23"/>
      <c r="G19" s="23"/>
      <c r="H19" s="23"/>
      <c r="I19" s="23"/>
    </row>
    <row r="20" spans="1:9" ht="16" x14ac:dyDescent="0.2">
      <c r="A20" s="21" t="s">
        <v>75</v>
      </c>
      <c r="B20" s="22" t="s">
        <v>84</v>
      </c>
      <c r="C20" s="22" t="s">
        <v>62</v>
      </c>
      <c r="D20" s="22" t="s">
        <v>85</v>
      </c>
      <c r="E20" s="22"/>
      <c r="F20" s="23"/>
      <c r="G20" s="23"/>
      <c r="H20" s="23"/>
      <c r="I20" s="23"/>
    </row>
    <row r="21" spans="1:9" ht="16" x14ac:dyDescent="0.2">
      <c r="A21" s="24" t="s">
        <v>75</v>
      </c>
      <c r="B21" s="25" t="s">
        <v>184</v>
      </c>
      <c r="C21" s="25" t="s">
        <v>62</v>
      </c>
      <c r="D21" s="25" t="s">
        <v>91</v>
      </c>
      <c r="E21" s="25"/>
      <c r="F21" s="23"/>
      <c r="G21" s="23"/>
      <c r="H21" s="23"/>
      <c r="I21" s="23"/>
    </row>
    <row r="22" spans="1:9" ht="16" x14ac:dyDescent="0.2">
      <c r="A22" s="21" t="s">
        <v>75</v>
      </c>
      <c r="B22" s="22" t="s">
        <v>61</v>
      </c>
      <c r="C22" s="22" t="s">
        <v>62</v>
      </c>
      <c r="D22" s="22" t="s">
        <v>89</v>
      </c>
      <c r="E22" s="22"/>
      <c r="F22" s="23"/>
      <c r="G22" s="23"/>
      <c r="H22" s="23"/>
      <c r="I22" s="23"/>
    </row>
    <row r="23" spans="1:9" ht="16" x14ac:dyDescent="0.2">
      <c r="A23" s="24" t="s">
        <v>75</v>
      </c>
      <c r="B23" s="25" t="s">
        <v>190</v>
      </c>
      <c r="C23" s="25" t="s">
        <v>62</v>
      </c>
      <c r="D23" s="25" t="s">
        <v>96</v>
      </c>
      <c r="E23" s="25"/>
      <c r="F23" s="23"/>
      <c r="G23" s="23"/>
      <c r="H23" s="23"/>
      <c r="I23" s="23"/>
    </row>
    <row r="24" spans="1:9" ht="16" x14ac:dyDescent="0.2">
      <c r="A24" s="21" t="s">
        <v>75</v>
      </c>
      <c r="B24" s="22" t="s">
        <v>92</v>
      </c>
      <c r="C24" s="22" t="s">
        <v>62</v>
      </c>
      <c r="D24" s="22" t="s">
        <v>93</v>
      </c>
      <c r="E24" s="22"/>
      <c r="F24" s="23"/>
      <c r="G24" s="23"/>
      <c r="H24" s="23"/>
      <c r="I24" s="23"/>
    </row>
    <row r="25" spans="1:9" ht="16" x14ac:dyDescent="0.2">
      <c r="A25" s="24" t="s">
        <v>75</v>
      </c>
      <c r="B25" s="25" t="s">
        <v>86</v>
      </c>
      <c r="C25" s="25" t="s">
        <v>62</v>
      </c>
      <c r="D25" s="25" t="s">
        <v>87</v>
      </c>
      <c r="E25" s="25"/>
      <c r="F25" s="23"/>
      <c r="G25" s="23"/>
      <c r="H25" s="23"/>
      <c r="I25" s="23"/>
    </row>
    <row r="26" spans="1:9" ht="16" x14ac:dyDescent="0.2">
      <c r="A26" s="21" t="s">
        <v>98</v>
      </c>
      <c r="B26" s="22" t="s">
        <v>63</v>
      </c>
      <c r="C26" s="22" t="s">
        <v>62</v>
      </c>
      <c r="D26" s="22" t="s">
        <v>100</v>
      </c>
      <c r="E26" s="22"/>
      <c r="F26" s="23"/>
      <c r="G26" s="23"/>
      <c r="H26" s="23"/>
      <c r="I26" s="23"/>
    </row>
    <row r="27" spans="1:9" ht="16" x14ac:dyDescent="0.2">
      <c r="A27" s="24" t="s">
        <v>98</v>
      </c>
      <c r="B27" s="25" t="s">
        <v>88</v>
      </c>
      <c r="C27" s="25" t="s">
        <v>62</v>
      </c>
      <c r="D27" s="25" t="s">
        <v>108</v>
      </c>
      <c r="E27" s="25"/>
      <c r="F27" s="23"/>
      <c r="G27" s="23"/>
      <c r="H27" s="23"/>
      <c r="I27" s="23"/>
    </row>
    <row r="28" spans="1:9" ht="16" x14ac:dyDescent="0.2">
      <c r="A28" s="21" t="s">
        <v>98</v>
      </c>
      <c r="B28" s="22" t="s">
        <v>99</v>
      </c>
      <c r="C28" s="22" t="s">
        <v>62</v>
      </c>
      <c r="D28" s="22" t="s">
        <v>112</v>
      </c>
      <c r="E28" s="22"/>
      <c r="F28" s="23"/>
      <c r="G28" s="23"/>
      <c r="H28" s="23"/>
      <c r="I28" s="23"/>
    </row>
    <row r="29" spans="1:9" ht="16" x14ac:dyDescent="0.2">
      <c r="A29" s="24" t="s">
        <v>98</v>
      </c>
      <c r="B29" s="25" t="s">
        <v>107</v>
      </c>
      <c r="C29" s="25" t="s">
        <v>62</v>
      </c>
      <c r="D29" s="25" t="s">
        <v>114</v>
      </c>
      <c r="E29" s="25"/>
      <c r="F29" s="23"/>
      <c r="G29" s="23"/>
      <c r="H29" s="23"/>
      <c r="I29" s="23"/>
    </row>
    <row r="30" spans="1:9" ht="16" x14ac:dyDescent="0.2">
      <c r="A30" s="21" t="s">
        <v>98</v>
      </c>
      <c r="B30" s="22" t="s">
        <v>130</v>
      </c>
      <c r="C30" s="22" t="s">
        <v>62</v>
      </c>
      <c r="D30" s="22" t="s">
        <v>121</v>
      </c>
      <c r="E30" s="22"/>
      <c r="F30" s="23"/>
      <c r="G30" s="23"/>
      <c r="H30" s="23"/>
      <c r="I30" s="23"/>
    </row>
    <row r="31" spans="1:9" ht="16" x14ac:dyDescent="0.2">
      <c r="A31" s="24" t="s">
        <v>98</v>
      </c>
      <c r="B31" s="25" t="s">
        <v>222</v>
      </c>
      <c r="C31" s="25" t="s">
        <v>62</v>
      </c>
      <c r="D31" s="25" t="s">
        <v>126</v>
      </c>
      <c r="E31" s="25" t="s">
        <v>127</v>
      </c>
      <c r="F31" s="23"/>
      <c r="G31" s="23"/>
      <c r="H31" s="23"/>
      <c r="I31" s="23"/>
    </row>
    <row r="32" spans="1:9" ht="16" x14ac:dyDescent="0.2">
      <c r="A32" s="21" t="s">
        <v>98</v>
      </c>
      <c r="B32" s="22" t="s">
        <v>118</v>
      </c>
      <c r="C32" s="22" t="s">
        <v>62</v>
      </c>
      <c r="D32" s="22" t="s">
        <v>119</v>
      </c>
      <c r="E32" s="22"/>
      <c r="F32" s="23"/>
      <c r="G32" s="23"/>
      <c r="H32" s="23"/>
      <c r="I32" s="23"/>
    </row>
    <row r="33" spans="1:9" ht="16" x14ac:dyDescent="0.2">
      <c r="A33" s="24" t="s">
        <v>98</v>
      </c>
      <c r="B33" s="25" t="s">
        <v>124</v>
      </c>
      <c r="C33" s="25" t="s">
        <v>62</v>
      </c>
      <c r="D33" s="25" t="s">
        <v>125</v>
      </c>
      <c r="E33" s="25"/>
      <c r="F33" s="23"/>
      <c r="G33" s="23"/>
      <c r="H33" s="23"/>
      <c r="I33" s="23"/>
    </row>
    <row r="34" spans="1:9" ht="16" x14ac:dyDescent="0.2">
      <c r="A34" s="21" t="s">
        <v>98</v>
      </c>
      <c r="B34" s="22" t="s">
        <v>115</v>
      </c>
      <c r="C34" s="22" t="s">
        <v>62</v>
      </c>
      <c r="D34" s="22" t="s">
        <v>116</v>
      </c>
      <c r="E34" s="22"/>
      <c r="F34" s="23"/>
      <c r="G34" s="23"/>
      <c r="H34" s="23"/>
      <c r="I34" s="23"/>
    </row>
    <row r="35" spans="1:9" ht="16" x14ac:dyDescent="0.2">
      <c r="A35" s="24" t="s">
        <v>98</v>
      </c>
      <c r="B35" s="25" t="s">
        <v>122</v>
      </c>
      <c r="C35" s="25" t="s">
        <v>62</v>
      </c>
      <c r="D35" s="25" t="s">
        <v>123</v>
      </c>
      <c r="E35" s="25"/>
      <c r="F35" s="23"/>
      <c r="G35" s="23"/>
      <c r="H35" s="23"/>
      <c r="I35" s="23"/>
    </row>
    <row r="36" spans="1:9" ht="16" x14ac:dyDescent="0.2">
      <c r="A36" s="21" t="s">
        <v>98</v>
      </c>
      <c r="B36" s="22" t="s">
        <v>109</v>
      </c>
      <c r="C36" s="22" t="s">
        <v>71</v>
      </c>
      <c r="D36" s="22" t="s">
        <v>110</v>
      </c>
      <c r="E36" s="22"/>
      <c r="F36" s="23"/>
      <c r="G36" s="23"/>
      <c r="H36" s="23"/>
      <c r="I36" s="23"/>
    </row>
    <row r="37" spans="1:9" ht="16" x14ac:dyDescent="0.2">
      <c r="A37" s="24" t="s">
        <v>98</v>
      </c>
      <c r="B37" s="25" t="s">
        <v>101</v>
      </c>
      <c r="C37" s="25" t="s">
        <v>62</v>
      </c>
      <c r="D37" s="25" t="s">
        <v>102</v>
      </c>
      <c r="E37" s="25"/>
      <c r="F37" s="23"/>
      <c r="G37" s="23"/>
      <c r="H37" s="23"/>
      <c r="I37" s="23"/>
    </row>
    <row r="38" spans="1:9" ht="16" x14ac:dyDescent="0.2">
      <c r="A38" s="21" t="s">
        <v>98</v>
      </c>
      <c r="B38" s="22" t="s">
        <v>103</v>
      </c>
      <c r="C38" s="22" t="s">
        <v>62</v>
      </c>
      <c r="D38" s="22" t="s">
        <v>104</v>
      </c>
      <c r="E38" s="22"/>
      <c r="F38" s="23"/>
      <c r="G38" s="23"/>
      <c r="H38" s="23"/>
      <c r="I38" s="23"/>
    </row>
    <row r="39" spans="1:9" ht="16" x14ac:dyDescent="0.2">
      <c r="A39" s="24" t="s">
        <v>98</v>
      </c>
      <c r="B39" s="25" t="s">
        <v>105</v>
      </c>
      <c r="C39" s="25" t="s">
        <v>62</v>
      </c>
      <c r="D39" s="25" t="s">
        <v>106</v>
      </c>
      <c r="E39" s="25"/>
      <c r="F39" s="23"/>
      <c r="G39" s="23"/>
      <c r="H39" s="23"/>
      <c r="I39" s="23"/>
    </row>
    <row r="40" spans="1:9" ht="16" x14ac:dyDescent="0.2">
      <c r="A40" s="21" t="s">
        <v>149</v>
      </c>
      <c r="B40" s="22" t="s">
        <v>150</v>
      </c>
      <c r="C40" s="22" t="s">
        <v>62</v>
      </c>
      <c r="D40" s="22" t="s">
        <v>151</v>
      </c>
      <c r="E40" s="22"/>
      <c r="F40" s="23"/>
      <c r="G40" s="23"/>
      <c r="H40" s="23"/>
      <c r="I40" s="23"/>
    </row>
    <row r="41" spans="1:9" ht="16" x14ac:dyDescent="0.2">
      <c r="A41" s="24" t="s">
        <v>149</v>
      </c>
      <c r="B41" s="25" t="s">
        <v>168</v>
      </c>
      <c r="C41" s="25" t="s">
        <v>62</v>
      </c>
      <c r="D41" s="25" t="s">
        <v>169</v>
      </c>
      <c r="E41" s="25"/>
      <c r="F41" s="23"/>
      <c r="G41" s="23"/>
      <c r="H41" s="23"/>
      <c r="I41" s="23"/>
    </row>
    <row r="42" spans="1:9" ht="16" x14ac:dyDescent="0.2">
      <c r="A42" s="21" t="s">
        <v>149</v>
      </c>
      <c r="B42" s="22" t="s">
        <v>170</v>
      </c>
      <c r="C42" s="22" t="s">
        <v>62</v>
      </c>
      <c r="D42" s="22" t="s">
        <v>171</v>
      </c>
      <c r="E42" s="22"/>
      <c r="F42" s="23"/>
      <c r="G42" s="23"/>
      <c r="H42" s="23"/>
      <c r="I42" s="23"/>
    </row>
    <row r="43" spans="1:9" ht="16" x14ac:dyDescent="0.2">
      <c r="A43" s="24" t="s">
        <v>149</v>
      </c>
      <c r="B43" s="25" t="s">
        <v>172</v>
      </c>
      <c r="C43" s="25" t="s">
        <v>62</v>
      </c>
      <c r="D43" s="25" t="s">
        <v>173</v>
      </c>
      <c r="E43" s="25"/>
      <c r="F43" s="23"/>
      <c r="G43" s="23"/>
      <c r="H43" s="23"/>
      <c r="I43" s="23"/>
    </row>
    <row r="44" spans="1:9" ht="16" x14ac:dyDescent="0.2">
      <c r="A44" s="21" t="s">
        <v>149</v>
      </c>
      <c r="B44" s="22" t="s">
        <v>174</v>
      </c>
      <c r="C44" s="22" t="s">
        <v>62</v>
      </c>
      <c r="D44" s="22" t="s">
        <v>175</v>
      </c>
      <c r="E44" s="22"/>
      <c r="F44" s="23"/>
      <c r="G44" s="23"/>
      <c r="H44" s="23"/>
      <c r="I44" s="23"/>
    </row>
    <row r="45" spans="1:9" ht="16" x14ac:dyDescent="0.2">
      <c r="A45" s="24" t="s">
        <v>149</v>
      </c>
      <c r="B45" s="25" t="s">
        <v>152</v>
      </c>
      <c r="C45" s="25" t="s">
        <v>62</v>
      </c>
      <c r="D45" s="25" t="s">
        <v>153</v>
      </c>
      <c r="E45" s="25"/>
      <c r="F45" s="23"/>
      <c r="G45" s="23"/>
      <c r="H45" s="23"/>
      <c r="I45" s="23"/>
    </row>
    <row r="46" spans="1:9" ht="16" x14ac:dyDescent="0.2">
      <c r="A46" s="21" t="s">
        <v>149</v>
      </c>
      <c r="B46" s="22" t="s">
        <v>154</v>
      </c>
      <c r="C46" s="22" t="s">
        <v>62</v>
      </c>
      <c r="D46" s="22" t="s">
        <v>155</v>
      </c>
      <c r="E46" s="22"/>
      <c r="F46" s="23"/>
      <c r="G46" s="23"/>
      <c r="H46" s="23"/>
      <c r="I46" s="23"/>
    </row>
    <row r="47" spans="1:9" ht="16" x14ac:dyDescent="0.2">
      <c r="A47" s="24" t="s">
        <v>149</v>
      </c>
      <c r="B47" s="25" t="s">
        <v>156</v>
      </c>
      <c r="C47" s="25" t="s">
        <v>62</v>
      </c>
      <c r="D47" s="25" t="s">
        <v>157</v>
      </c>
      <c r="E47" s="25"/>
      <c r="F47" s="23"/>
      <c r="G47" s="23"/>
      <c r="H47" s="23"/>
      <c r="I47" s="23"/>
    </row>
    <row r="48" spans="1:9" ht="16" x14ac:dyDescent="0.2">
      <c r="A48" s="21" t="s">
        <v>149</v>
      </c>
      <c r="B48" s="22" t="s">
        <v>158</v>
      </c>
      <c r="C48" s="22" t="s">
        <v>62</v>
      </c>
      <c r="D48" s="22" t="s">
        <v>159</v>
      </c>
      <c r="E48" s="22"/>
      <c r="F48" s="23"/>
      <c r="G48" s="23"/>
      <c r="H48" s="23"/>
      <c r="I48" s="23"/>
    </row>
    <row r="49" spans="1:9" ht="16" x14ac:dyDescent="0.2">
      <c r="A49" s="24" t="s">
        <v>149</v>
      </c>
      <c r="B49" s="25" t="s">
        <v>160</v>
      </c>
      <c r="C49" s="25" t="s">
        <v>62</v>
      </c>
      <c r="D49" s="25" t="s">
        <v>161</v>
      </c>
      <c r="E49" s="25"/>
      <c r="F49" s="23"/>
      <c r="G49" s="23"/>
      <c r="H49" s="23"/>
      <c r="I49" s="23"/>
    </row>
    <row r="50" spans="1:9" ht="16" x14ac:dyDescent="0.2">
      <c r="A50" s="21" t="s">
        <v>149</v>
      </c>
      <c r="B50" s="22" t="s">
        <v>162</v>
      </c>
      <c r="C50" s="22" t="s">
        <v>62</v>
      </c>
      <c r="D50" s="22" t="s">
        <v>163</v>
      </c>
      <c r="E50" s="22"/>
      <c r="F50" s="23"/>
      <c r="G50" s="23"/>
      <c r="H50" s="23"/>
      <c r="I50" s="23"/>
    </row>
    <row r="51" spans="1:9" ht="16" x14ac:dyDescent="0.2">
      <c r="A51" s="24" t="s">
        <v>149</v>
      </c>
      <c r="B51" s="25" t="s">
        <v>164</v>
      </c>
      <c r="C51" s="25" t="s">
        <v>62</v>
      </c>
      <c r="D51" s="25" t="s">
        <v>165</v>
      </c>
      <c r="E51" s="25"/>
      <c r="F51" s="23"/>
      <c r="G51" s="23"/>
      <c r="H51" s="23"/>
      <c r="I51" s="23"/>
    </row>
    <row r="52" spans="1:9" ht="16" x14ac:dyDescent="0.2">
      <c r="A52" s="21" t="s">
        <v>149</v>
      </c>
      <c r="B52" s="22" t="s">
        <v>166</v>
      </c>
      <c r="C52" s="22" t="s">
        <v>62</v>
      </c>
      <c r="D52" s="22" t="s">
        <v>167</v>
      </c>
      <c r="E52" s="22"/>
      <c r="F52" s="23"/>
      <c r="G52" s="23"/>
      <c r="H52" s="23"/>
      <c r="I52" s="23"/>
    </row>
    <row r="53" spans="1:9" ht="16" x14ac:dyDescent="0.2">
      <c r="A53" s="24" t="s">
        <v>149</v>
      </c>
      <c r="B53" s="25" t="s">
        <v>220</v>
      </c>
      <c r="C53" s="25" t="s">
        <v>71</v>
      </c>
      <c r="D53" s="25" t="s">
        <v>176</v>
      </c>
      <c r="E53" s="25"/>
      <c r="F53" s="23"/>
      <c r="G53" s="23"/>
      <c r="H53" s="23"/>
      <c r="I53" s="23"/>
    </row>
    <row r="54" spans="1:9" ht="16" x14ac:dyDescent="0.2">
      <c r="A54" s="21" t="s">
        <v>221</v>
      </c>
      <c r="B54" s="22" t="s">
        <v>131</v>
      </c>
      <c r="C54" s="22" t="s">
        <v>62</v>
      </c>
      <c r="D54" s="22" t="s">
        <v>148</v>
      </c>
      <c r="E54" s="22"/>
      <c r="F54" s="23"/>
      <c r="G54" s="23"/>
      <c r="H54" s="23"/>
      <c r="I54" s="23"/>
    </row>
    <row r="55" spans="1:9" ht="16" x14ac:dyDescent="0.2">
      <c r="A55" s="24" t="s">
        <v>221</v>
      </c>
      <c r="B55" s="25" t="s">
        <v>111</v>
      </c>
      <c r="C55" s="25" t="s">
        <v>62</v>
      </c>
      <c r="D55" s="25" t="s">
        <v>136</v>
      </c>
      <c r="E55" s="25"/>
      <c r="F55" s="23"/>
      <c r="G55" s="23"/>
      <c r="H55" s="23"/>
      <c r="I55" s="23"/>
    </row>
    <row r="56" spans="1:9" ht="16" x14ac:dyDescent="0.2">
      <c r="A56" s="21" t="s">
        <v>221</v>
      </c>
      <c r="B56" s="22" t="s">
        <v>113</v>
      </c>
      <c r="C56" s="22" t="s">
        <v>62</v>
      </c>
      <c r="D56" s="22" t="s">
        <v>140</v>
      </c>
      <c r="E56" s="22"/>
      <c r="F56" s="23"/>
      <c r="G56" s="23"/>
      <c r="H56" s="23"/>
      <c r="I56" s="23"/>
    </row>
    <row r="57" spans="1:9" ht="16" x14ac:dyDescent="0.2">
      <c r="A57" s="24" t="s">
        <v>221</v>
      </c>
      <c r="B57" s="25" t="s">
        <v>129</v>
      </c>
      <c r="C57" s="25" t="s">
        <v>62</v>
      </c>
      <c r="D57" s="25" t="s">
        <v>142</v>
      </c>
      <c r="E57" s="25"/>
      <c r="F57" s="23"/>
      <c r="G57" s="23"/>
      <c r="H57" s="23"/>
      <c r="I57" s="23"/>
    </row>
    <row r="58" spans="1:9" ht="16" x14ac:dyDescent="0.2">
      <c r="A58" s="21" t="s">
        <v>221</v>
      </c>
      <c r="B58" s="22" t="s">
        <v>117</v>
      </c>
      <c r="C58" s="22" t="s">
        <v>71</v>
      </c>
      <c r="D58" s="22" t="s">
        <v>146</v>
      </c>
      <c r="E58" s="22"/>
      <c r="F58" s="23"/>
      <c r="G58" s="23"/>
      <c r="H58" s="23"/>
      <c r="I58" s="23"/>
    </row>
    <row r="59" spans="1:9" ht="16" x14ac:dyDescent="0.2">
      <c r="A59" s="24" t="s">
        <v>221</v>
      </c>
      <c r="B59" s="25" t="s">
        <v>145</v>
      </c>
      <c r="C59" s="25" t="s">
        <v>62</v>
      </c>
      <c r="D59" s="25" t="s">
        <v>133</v>
      </c>
      <c r="E59" s="25"/>
      <c r="F59" s="23"/>
      <c r="G59" s="23"/>
      <c r="H59" s="23"/>
      <c r="I59" s="23"/>
    </row>
    <row r="60" spans="1:9" ht="16" x14ac:dyDescent="0.2">
      <c r="A60" s="21" t="s">
        <v>221</v>
      </c>
      <c r="B60" s="22" t="s">
        <v>132</v>
      </c>
      <c r="C60" s="22" t="s">
        <v>62</v>
      </c>
      <c r="D60" s="22" t="s">
        <v>138</v>
      </c>
      <c r="E60" s="22"/>
      <c r="F60" s="23"/>
      <c r="G60" s="23"/>
      <c r="H60" s="23"/>
      <c r="I60" s="23"/>
    </row>
    <row r="61" spans="1:9" ht="16" x14ac:dyDescent="0.2">
      <c r="A61" s="24" t="s">
        <v>177</v>
      </c>
      <c r="B61" s="25" t="s">
        <v>128</v>
      </c>
      <c r="C61" s="25" t="s">
        <v>71</v>
      </c>
      <c r="D61" s="25" t="s">
        <v>193</v>
      </c>
      <c r="E61" s="25"/>
      <c r="F61" s="23"/>
      <c r="G61" s="23"/>
      <c r="H61" s="23"/>
      <c r="I61" s="23"/>
    </row>
    <row r="62" spans="1:9" ht="16" x14ac:dyDescent="0.2">
      <c r="A62" s="21" t="s">
        <v>177</v>
      </c>
      <c r="B62" s="22" t="s">
        <v>90</v>
      </c>
      <c r="C62" s="22" t="s">
        <v>62</v>
      </c>
      <c r="D62" s="22" t="s">
        <v>195</v>
      </c>
      <c r="E62" s="22"/>
      <c r="F62" s="23"/>
      <c r="G62" s="23"/>
      <c r="H62" s="23"/>
      <c r="I62" s="23"/>
    </row>
    <row r="63" spans="1:9" ht="16" x14ac:dyDescent="0.2">
      <c r="A63" s="24" t="s">
        <v>177</v>
      </c>
      <c r="B63" s="25" t="s">
        <v>94</v>
      </c>
      <c r="C63" s="25" t="s">
        <v>71</v>
      </c>
      <c r="D63" s="25" t="s">
        <v>197</v>
      </c>
      <c r="E63" s="25"/>
      <c r="F63" s="23"/>
      <c r="G63" s="23"/>
      <c r="H63" s="23"/>
      <c r="I63" s="23"/>
    </row>
    <row r="64" spans="1:9" ht="16" x14ac:dyDescent="0.2">
      <c r="A64" s="21" t="s">
        <v>177</v>
      </c>
      <c r="B64" s="22" t="s">
        <v>192</v>
      </c>
      <c r="C64" s="22" t="s">
        <v>62</v>
      </c>
      <c r="D64" s="22" t="s">
        <v>199</v>
      </c>
      <c r="E64" s="22"/>
      <c r="F64" s="23"/>
      <c r="G64" s="23"/>
      <c r="H64" s="23"/>
      <c r="I64" s="23"/>
    </row>
    <row r="65" spans="1:9" ht="16" x14ac:dyDescent="0.2">
      <c r="A65" s="24" t="s">
        <v>177</v>
      </c>
      <c r="B65" s="25" t="s">
        <v>194</v>
      </c>
      <c r="C65" s="25" t="s">
        <v>62</v>
      </c>
      <c r="D65" s="25" t="s">
        <v>201</v>
      </c>
      <c r="E65" s="25"/>
      <c r="F65" s="23"/>
      <c r="G65" s="23"/>
      <c r="H65" s="23"/>
      <c r="I65" s="23"/>
    </row>
    <row r="66" spans="1:9" ht="16" x14ac:dyDescent="0.2">
      <c r="A66" s="21" t="s">
        <v>177</v>
      </c>
      <c r="B66" s="22" t="s">
        <v>196</v>
      </c>
      <c r="C66" s="22" t="s">
        <v>62</v>
      </c>
      <c r="D66" s="22" t="s">
        <v>202</v>
      </c>
      <c r="E66" s="22"/>
      <c r="F66" s="23"/>
      <c r="G66" s="23"/>
      <c r="H66" s="23"/>
      <c r="I66" s="23"/>
    </row>
    <row r="67" spans="1:9" ht="16" x14ac:dyDescent="0.2">
      <c r="A67" s="24" t="s">
        <v>177</v>
      </c>
      <c r="B67" s="25" t="s">
        <v>198</v>
      </c>
      <c r="C67" s="25" t="s">
        <v>62</v>
      </c>
      <c r="D67" s="25" t="s">
        <v>203</v>
      </c>
      <c r="E67" s="25"/>
      <c r="F67" s="23"/>
      <c r="G67" s="23"/>
      <c r="H67" s="23"/>
      <c r="I67" s="23"/>
    </row>
    <row r="68" spans="1:9" ht="16" x14ac:dyDescent="0.2">
      <c r="A68" s="21" t="s">
        <v>177</v>
      </c>
      <c r="B68" s="22" t="s">
        <v>178</v>
      </c>
      <c r="C68" s="22" t="s">
        <v>62</v>
      </c>
      <c r="D68" s="22" t="s">
        <v>183</v>
      </c>
      <c r="E68" s="22"/>
      <c r="F68" s="23"/>
      <c r="G68" s="23"/>
      <c r="H68" s="23"/>
      <c r="I68" s="23"/>
    </row>
    <row r="69" spans="1:9" ht="16" x14ac:dyDescent="0.2">
      <c r="A69" s="24" t="s">
        <v>177</v>
      </c>
      <c r="B69" s="25" t="s">
        <v>181</v>
      </c>
      <c r="C69" s="25" t="s">
        <v>62</v>
      </c>
      <c r="D69" s="25" t="s">
        <v>185</v>
      </c>
      <c r="E69" s="25"/>
      <c r="F69" s="23"/>
      <c r="G69" s="23"/>
      <c r="H69" s="23"/>
      <c r="I69" s="23"/>
    </row>
    <row r="70" spans="1:9" ht="16" x14ac:dyDescent="0.2">
      <c r="A70" s="21" t="s">
        <v>177</v>
      </c>
      <c r="B70" s="22" t="s">
        <v>182</v>
      </c>
      <c r="C70" s="22" t="s">
        <v>62</v>
      </c>
      <c r="D70" s="22" t="s">
        <v>189</v>
      </c>
      <c r="E70" s="22"/>
      <c r="F70" s="23"/>
      <c r="G70" s="23"/>
      <c r="H70" s="23"/>
      <c r="I70" s="23"/>
    </row>
    <row r="71" spans="1:9" ht="16" x14ac:dyDescent="0.2">
      <c r="A71" s="24" t="s">
        <v>177</v>
      </c>
      <c r="B71" s="25" t="s">
        <v>179</v>
      </c>
      <c r="C71" s="25" t="s">
        <v>62</v>
      </c>
      <c r="D71" s="25" t="s">
        <v>180</v>
      </c>
      <c r="E71" s="25"/>
      <c r="F71" s="23"/>
      <c r="G71" s="23"/>
      <c r="H71" s="23"/>
      <c r="I71" s="23"/>
    </row>
    <row r="72" spans="1:9" ht="16" x14ac:dyDescent="0.2">
      <c r="A72" s="27" t="s">
        <v>177</v>
      </c>
      <c r="B72" s="28" t="s">
        <v>186</v>
      </c>
      <c r="C72" s="28" t="s">
        <v>71</v>
      </c>
      <c r="D72" s="28" t="s">
        <v>187</v>
      </c>
      <c r="E72" s="25"/>
      <c r="F72" s="23"/>
      <c r="G72" s="23"/>
      <c r="H72" s="23"/>
      <c r="I72" s="23"/>
    </row>
    <row r="73" spans="1:9" ht="16" x14ac:dyDescent="0.2">
      <c r="A73" s="23"/>
      <c r="B73" s="29"/>
      <c r="C73" s="23"/>
      <c r="D73" s="23"/>
      <c r="E73" s="23"/>
      <c r="F73" s="23"/>
      <c r="G73" s="23"/>
      <c r="H73" s="23"/>
      <c r="I73" s="23"/>
    </row>
    <row r="74" spans="1:9" ht="16" x14ac:dyDescent="0.2">
      <c r="A74" s="23"/>
      <c r="B74" s="29"/>
      <c r="C74" s="23"/>
      <c r="D74" s="23"/>
      <c r="E74" s="23"/>
      <c r="F74" s="23"/>
      <c r="G74" s="23"/>
      <c r="H74" s="23"/>
      <c r="I74" s="23"/>
    </row>
    <row r="75" spans="1:9" ht="16" x14ac:dyDescent="0.2">
      <c r="A75" s="23"/>
      <c r="B75" s="29"/>
      <c r="C75" s="23"/>
      <c r="D75" s="23"/>
      <c r="E75" s="23"/>
      <c r="F75" s="23"/>
      <c r="G75" s="23"/>
      <c r="H75" s="23"/>
      <c r="I75" s="23"/>
    </row>
  </sheetData>
  <autoFilter ref="A1:E72" xr:uid="{91CB8C2A-1453-FB4D-9CBD-FB2B6132C2D6}"/>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B4426-805D-6746-AEF8-BBC568245281}">
  <dimension ref="A1:E24"/>
  <sheetViews>
    <sheetView tabSelected="1" topLeftCell="B1" zoomScale="150" workbookViewId="0">
      <selection activeCell="D23" sqref="D23"/>
    </sheetView>
  </sheetViews>
  <sheetFormatPr baseColWidth="10" defaultRowHeight="15" x14ac:dyDescent="0.2"/>
  <cols>
    <col min="1" max="1" width="22.83203125" customWidth="1"/>
    <col min="2" max="2" width="20.33203125" customWidth="1"/>
    <col min="3" max="3" width="27.83203125" customWidth="1"/>
    <col min="4" max="4" width="22.6640625" customWidth="1"/>
    <col min="5" max="5" width="75.6640625" customWidth="1"/>
  </cols>
  <sheetData>
    <row r="1" spans="1:5" ht="17" thickBot="1" x14ac:dyDescent="0.25">
      <c r="A1" s="19" t="s">
        <v>214</v>
      </c>
      <c r="B1" s="20" t="s">
        <v>215</v>
      </c>
      <c r="C1" s="20" t="s">
        <v>204</v>
      </c>
      <c r="D1" s="20" t="s">
        <v>205</v>
      </c>
      <c r="E1" s="20" t="s">
        <v>364</v>
      </c>
    </row>
    <row r="2" spans="1:5" ht="16" thickTop="1" x14ac:dyDescent="0.2">
      <c r="A2" s="30" t="s">
        <v>251</v>
      </c>
      <c r="B2" s="30" t="s">
        <v>223</v>
      </c>
      <c r="C2" s="31" t="s">
        <v>224</v>
      </c>
      <c r="D2" s="31" t="s">
        <v>62</v>
      </c>
      <c r="E2" s="31" t="s">
        <v>225</v>
      </c>
    </row>
    <row r="3" spans="1:5" x14ac:dyDescent="0.2">
      <c r="A3" s="30" t="s">
        <v>251</v>
      </c>
      <c r="B3" s="30" t="s">
        <v>223</v>
      </c>
      <c r="C3" s="31" t="s">
        <v>226</v>
      </c>
      <c r="D3" s="31" t="s">
        <v>62</v>
      </c>
      <c r="E3" s="31" t="s">
        <v>227</v>
      </c>
    </row>
    <row r="4" spans="1:5" ht="16" x14ac:dyDescent="0.2">
      <c r="A4" s="30" t="s">
        <v>251</v>
      </c>
      <c r="B4" s="32" t="s">
        <v>228</v>
      </c>
      <c r="C4" s="31" t="s">
        <v>229</v>
      </c>
      <c r="D4" s="31" t="s">
        <v>62</v>
      </c>
      <c r="E4" s="31" t="s">
        <v>230</v>
      </c>
    </row>
    <row r="5" spans="1:5" x14ac:dyDescent="0.2">
      <c r="A5" s="30" t="s">
        <v>251</v>
      </c>
      <c r="B5" s="30" t="s">
        <v>223</v>
      </c>
      <c r="C5" s="31" t="s">
        <v>231</v>
      </c>
      <c r="D5" s="31" t="s">
        <v>71</v>
      </c>
      <c r="E5" s="31" t="s">
        <v>232</v>
      </c>
    </row>
    <row r="6" spans="1:5" x14ac:dyDescent="0.2">
      <c r="A6" s="30" t="s">
        <v>251</v>
      </c>
      <c r="B6" s="30" t="s">
        <v>223</v>
      </c>
      <c r="C6" s="31" t="s">
        <v>233</v>
      </c>
      <c r="D6" s="31" t="s">
        <v>71</v>
      </c>
      <c r="E6" s="31" t="s">
        <v>234</v>
      </c>
    </row>
    <row r="7" spans="1:5" ht="16" x14ac:dyDescent="0.2">
      <c r="A7" s="30" t="s">
        <v>251</v>
      </c>
      <c r="B7" s="33" t="s">
        <v>228</v>
      </c>
      <c r="C7" s="31" t="s">
        <v>361</v>
      </c>
      <c r="D7" s="31" t="s">
        <v>62</v>
      </c>
      <c r="E7" s="31" t="s">
        <v>235</v>
      </c>
    </row>
    <row r="8" spans="1:5" ht="16" x14ac:dyDescent="0.2">
      <c r="A8" s="30" t="s">
        <v>251</v>
      </c>
      <c r="B8" s="33" t="s">
        <v>228</v>
      </c>
      <c r="C8" s="31" t="s">
        <v>365</v>
      </c>
      <c r="D8" s="31" t="s">
        <v>62</v>
      </c>
      <c r="E8" s="31" t="s">
        <v>236</v>
      </c>
    </row>
    <row r="9" spans="1:5" ht="16" x14ac:dyDescent="0.2">
      <c r="A9" s="30" t="s">
        <v>251</v>
      </c>
      <c r="B9" s="33" t="s">
        <v>228</v>
      </c>
      <c r="C9" s="31" t="s">
        <v>366</v>
      </c>
      <c r="D9" s="31" t="s">
        <v>62</v>
      </c>
      <c r="E9" s="31" t="s">
        <v>237</v>
      </c>
    </row>
    <row r="10" spans="1:5" ht="16" x14ac:dyDescent="0.2">
      <c r="A10" s="30" t="s">
        <v>251</v>
      </c>
      <c r="B10" s="33" t="s">
        <v>228</v>
      </c>
      <c r="C10" s="31" t="s">
        <v>367</v>
      </c>
      <c r="D10" s="31" t="s">
        <v>62</v>
      </c>
      <c r="E10" s="31" t="s">
        <v>238</v>
      </c>
    </row>
    <row r="11" spans="1:5" x14ac:dyDescent="0.2">
      <c r="A11" s="30" t="s">
        <v>251</v>
      </c>
      <c r="B11" s="31" t="s">
        <v>239</v>
      </c>
      <c r="C11" s="31" t="s">
        <v>368</v>
      </c>
      <c r="D11" s="31" t="s">
        <v>62</v>
      </c>
      <c r="E11" s="31" t="s">
        <v>240</v>
      </c>
    </row>
    <row r="12" spans="1:5" x14ac:dyDescent="0.2">
      <c r="A12" s="30" t="s">
        <v>251</v>
      </c>
      <c r="B12" s="31" t="s">
        <v>241</v>
      </c>
      <c r="C12" s="31" t="s">
        <v>369</v>
      </c>
      <c r="D12" s="31" t="s">
        <v>62</v>
      </c>
      <c r="E12" s="31" t="s">
        <v>242</v>
      </c>
    </row>
    <row r="13" spans="1:5" x14ac:dyDescent="0.2">
      <c r="A13" s="30" t="s">
        <v>251</v>
      </c>
      <c r="B13" s="31" t="s">
        <v>239</v>
      </c>
      <c r="C13" s="31" t="s">
        <v>370</v>
      </c>
      <c r="D13" s="31" t="s">
        <v>62</v>
      </c>
      <c r="E13" s="31" t="s">
        <v>243</v>
      </c>
    </row>
    <row r="14" spans="1:5" x14ac:dyDescent="0.2">
      <c r="A14" s="30" t="s">
        <v>251</v>
      </c>
      <c r="B14" s="31" t="s">
        <v>239</v>
      </c>
      <c r="C14" s="31" t="s">
        <v>371</v>
      </c>
      <c r="D14" s="31" t="s">
        <v>62</v>
      </c>
      <c r="E14" s="31" t="s">
        <v>244</v>
      </c>
    </row>
    <row r="15" spans="1:5" x14ac:dyDescent="0.2">
      <c r="A15" s="30" t="s">
        <v>251</v>
      </c>
      <c r="B15" s="31" t="s">
        <v>245</v>
      </c>
      <c r="C15" s="31" t="s">
        <v>372</v>
      </c>
      <c r="D15" s="31" t="s">
        <v>62</v>
      </c>
      <c r="E15" s="31" t="s">
        <v>246</v>
      </c>
    </row>
    <row r="16" spans="1:5" x14ac:dyDescent="0.2">
      <c r="A16" s="30" t="s">
        <v>251</v>
      </c>
      <c r="B16" s="31" t="s">
        <v>241</v>
      </c>
      <c r="C16" s="31" t="s">
        <v>373</v>
      </c>
      <c r="D16" s="31" t="s">
        <v>62</v>
      </c>
      <c r="E16" s="31" t="s">
        <v>247</v>
      </c>
    </row>
    <row r="17" spans="1:5" x14ac:dyDescent="0.2">
      <c r="A17" s="30" t="s">
        <v>251</v>
      </c>
      <c r="B17" s="31" t="s">
        <v>241</v>
      </c>
      <c r="C17" s="31" t="s">
        <v>374</v>
      </c>
      <c r="D17" s="31" t="s">
        <v>62</v>
      </c>
      <c r="E17" s="31" t="s">
        <v>248</v>
      </c>
    </row>
    <row r="18" spans="1:5" x14ac:dyDescent="0.2">
      <c r="A18" s="30" t="s">
        <v>251</v>
      </c>
      <c r="B18" s="31" t="s">
        <v>245</v>
      </c>
      <c r="C18" s="31" t="s">
        <v>375</v>
      </c>
      <c r="D18" s="31" t="s">
        <v>71</v>
      </c>
      <c r="E18" s="31" t="s">
        <v>249</v>
      </c>
    </row>
    <row r="19" spans="1:5" x14ac:dyDescent="0.2">
      <c r="A19" s="30" t="s">
        <v>251</v>
      </c>
      <c r="B19" s="31" t="s">
        <v>245</v>
      </c>
      <c r="C19" s="31" t="s">
        <v>376</v>
      </c>
      <c r="D19" s="31" t="s">
        <v>62</v>
      </c>
      <c r="E19" s="31" t="s">
        <v>250</v>
      </c>
    </row>
    <row r="23" spans="1:5" x14ac:dyDescent="0.2">
      <c r="C23" s="44"/>
    </row>
    <row r="24" spans="1:5" x14ac:dyDescent="0.2">
      <c r="C24" s="43"/>
    </row>
  </sheetData>
  <phoneticPr fontId="16" type="noConversion"/>
  <pageMargins left="0.7" right="0.7" top="0.78740157499999996" bottom="0.78740157499999996"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294D0-BA92-C747-8592-16129F1DB6AE}">
  <dimension ref="A1:E94"/>
  <sheetViews>
    <sheetView workbookViewId="0">
      <selection activeCell="E92" sqref="E92"/>
    </sheetView>
  </sheetViews>
  <sheetFormatPr baseColWidth="10" defaultColWidth="11.5" defaultRowHeight="15" x14ac:dyDescent="0.2"/>
  <cols>
    <col min="1" max="1" width="28.33203125" customWidth="1"/>
    <col min="2" max="2" width="23.5" customWidth="1"/>
    <col min="5" max="5" width="99.83203125" bestFit="1" customWidth="1"/>
  </cols>
  <sheetData>
    <row r="1" spans="1:5" x14ac:dyDescent="0.2">
      <c r="A1" t="s">
        <v>261</v>
      </c>
      <c r="B1" t="s">
        <v>262</v>
      </c>
      <c r="C1" t="s">
        <v>263</v>
      </c>
      <c r="D1" s="35" t="s">
        <v>316</v>
      </c>
      <c r="E1" t="s">
        <v>264</v>
      </c>
    </row>
    <row r="2" spans="1:5" x14ac:dyDescent="0.2">
      <c r="A2" t="s">
        <v>60</v>
      </c>
      <c r="B2" t="s">
        <v>61</v>
      </c>
      <c r="C2" t="s">
        <v>62</v>
      </c>
      <c r="D2" s="34" t="s">
        <v>71</v>
      </c>
      <c r="E2" t="s">
        <v>265</v>
      </c>
    </row>
    <row r="3" spans="1:5" x14ac:dyDescent="0.2">
      <c r="A3" t="s">
        <v>60</v>
      </c>
      <c r="B3" t="s">
        <v>63</v>
      </c>
      <c r="C3" t="s">
        <v>62</v>
      </c>
      <c r="D3" s="34" t="s">
        <v>71</v>
      </c>
      <c r="E3" t="s">
        <v>266</v>
      </c>
    </row>
    <row r="4" spans="1:5" x14ac:dyDescent="0.2">
      <c r="A4" t="s">
        <v>60</v>
      </c>
      <c r="B4" t="s">
        <v>267</v>
      </c>
      <c r="C4" t="s">
        <v>62</v>
      </c>
      <c r="D4" s="34" t="s">
        <v>62</v>
      </c>
      <c r="E4" t="s">
        <v>64</v>
      </c>
    </row>
    <row r="5" spans="1:5" x14ac:dyDescent="0.2">
      <c r="A5" t="s">
        <v>60</v>
      </c>
      <c r="B5" t="s">
        <v>268</v>
      </c>
      <c r="C5" t="s">
        <v>62</v>
      </c>
      <c r="D5" s="34" t="s">
        <v>71</v>
      </c>
      <c r="E5" t="s">
        <v>269</v>
      </c>
    </row>
    <row r="6" spans="1:5" x14ac:dyDescent="0.2">
      <c r="A6" t="s">
        <v>60</v>
      </c>
      <c r="B6" t="s">
        <v>270</v>
      </c>
      <c r="C6" t="s">
        <v>62</v>
      </c>
      <c r="D6" s="34" t="s">
        <v>71</v>
      </c>
      <c r="E6" t="s">
        <v>271</v>
      </c>
    </row>
    <row r="7" spans="1:5" x14ac:dyDescent="0.2">
      <c r="A7" t="s">
        <v>60</v>
      </c>
      <c r="B7" t="s">
        <v>272</v>
      </c>
      <c r="C7" t="s">
        <v>62</v>
      </c>
      <c r="D7" s="34" t="s">
        <v>71</v>
      </c>
      <c r="E7" t="s">
        <v>273</v>
      </c>
    </row>
    <row r="8" spans="1:5" x14ac:dyDescent="0.2">
      <c r="A8" t="s">
        <v>60</v>
      </c>
      <c r="B8" t="s">
        <v>274</v>
      </c>
      <c r="C8" t="s">
        <v>62</v>
      </c>
      <c r="D8" s="34" t="s">
        <v>62</v>
      </c>
      <c r="E8" t="s">
        <v>65</v>
      </c>
    </row>
    <row r="9" spans="1:5" x14ac:dyDescent="0.2">
      <c r="A9" t="s">
        <v>60</v>
      </c>
      <c r="B9" t="s">
        <v>275</v>
      </c>
      <c r="C9" t="s">
        <v>62</v>
      </c>
      <c r="D9" s="34" t="s">
        <v>62</v>
      </c>
      <c r="E9" t="s">
        <v>66</v>
      </c>
    </row>
    <row r="10" spans="1:5" x14ac:dyDescent="0.2">
      <c r="A10" t="s">
        <v>60</v>
      </c>
      <c r="B10" t="s">
        <v>276</v>
      </c>
      <c r="C10" t="s">
        <v>62</v>
      </c>
      <c r="D10" s="34" t="s">
        <v>62</v>
      </c>
      <c r="E10" t="s">
        <v>67</v>
      </c>
    </row>
    <row r="11" spans="1:5" x14ac:dyDescent="0.2">
      <c r="A11" t="s">
        <v>60</v>
      </c>
      <c r="B11" t="s">
        <v>277</v>
      </c>
      <c r="C11" t="s">
        <v>62</v>
      </c>
      <c r="D11" s="34" t="s">
        <v>62</v>
      </c>
      <c r="E11" t="s">
        <v>68</v>
      </c>
    </row>
    <row r="12" spans="1:5" x14ac:dyDescent="0.2">
      <c r="A12" t="s">
        <v>60</v>
      </c>
      <c r="B12" t="s">
        <v>278</v>
      </c>
      <c r="C12" t="s">
        <v>62</v>
      </c>
      <c r="D12" s="34" t="s">
        <v>62</v>
      </c>
      <c r="E12" t="s">
        <v>69</v>
      </c>
    </row>
    <row r="13" spans="1:5" x14ac:dyDescent="0.2">
      <c r="A13" t="s">
        <v>60</v>
      </c>
      <c r="B13" t="s">
        <v>279</v>
      </c>
      <c r="C13" t="s">
        <v>62</v>
      </c>
      <c r="D13" s="34" t="s">
        <v>62</v>
      </c>
      <c r="E13" t="s">
        <v>70</v>
      </c>
    </row>
    <row r="14" spans="1:5" x14ac:dyDescent="0.2">
      <c r="A14" t="s">
        <v>60</v>
      </c>
      <c r="B14" t="s">
        <v>280</v>
      </c>
      <c r="C14" t="s">
        <v>62</v>
      </c>
      <c r="D14" s="34" t="s">
        <v>71</v>
      </c>
      <c r="E14" t="s">
        <v>281</v>
      </c>
    </row>
    <row r="15" spans="1:5" x14ac:dyDescent="0.2">
      <c r="A15" t="s">
        <v>60</v>
      </c>
      <c r="B15" t="s">
        <v>282</v>
      </c>
      <c r="C15" t="s">
        <v>71</v>
      </c>
      <c r="D15" s="34" t="s">
        <v>62</v>
      </c>
      <c r="E15" t="s">
        <v>72</v>
      </c>
    </row>
    <row r="16" spans="1:5" x14ac:dyDescent="0.2">
      <c r="A16" t="s">
        <v>60</v>
      </c>
      <c r="B16" t="s">
        <v>283</v>
      </c>
      <c r="C16" t="s">
        <v>62</v>
      </c>
      <c r="D16" s="34" t="s">
        <v>62</v>
      </c>
      <c r="E16" t="s">
        <v>73</v>
      </c>
    </row>
    <row r="17" spans="1:5" x14ac:dyDescent="0.2">
      <c r="A17" t="s">
        <v>60</v>
      </c>
      <c r="B17" t="s">
        <v>284</v>
      </c>
      <c r="C17" t="s">
        <v>71</v>
      </c>
      <c r="D17" s="34" t="s">
        <v>62</v>
      </c>
      <c r="E17" t="s">
        <v>74</v>
      </c>
    </row>
    <row r="18" spans="1:5" x14ac:dyDescent="0.2">
      <c r="A18" t="s">
        <v>75</v>
      </c>
      <c r="B18" t="s">
        <v>76</v>
      </c>
      <c r="C18" t="s">
        <v>62</v>
      </c>
      <c r="D18" s="34" t="s">
        <v>62</v>
      </c>
      <c r="E18" t="s">
        <v>77</v>
      </c>
    </row>
    <row r="19" spans="1:5" x14ac:dyDescent="0.2">
      <c r="A19" t="s">
        <v>75</v>
      </c>
      <c r="B19" t="s">
        <v>78</v>
      </c>
      <c r="C19" t="s">
        <v>62</v>
      </c>
      <c r="D19" s="34" t="s">
        <v>62</v>
      </c>
      <c r="E19" t="s">
        <v>79</v>
      </c>
    </row>
    <row r="20" spans="1:5" x14ac:dyDescent="0.2">
      <c r="A20" t="s">
        <v>75</v>
      </c>
      <c r="B20" t="s">
        <v>80</v>
      </c>
      <c r="C20" t="s">
        <v>62</v>
      </c>
      <c r="D20" s="34" t="s">
        <v>62</v>
      </c>
      <c r="E20" t="s">
        <v>81</v>
      </c>
    </row>
    <row r="21" spans="1:5" x14ac:dyDescent="0.2">
      <c r="A21" t="s">
        <v>75</v>
      </c>
      <c r="B21" t="s">
        <v>82</v>
      </c>
      <c r="C21" t="s">
        <v>62</v>
      </c>
      <c r="D21" s="34" t="s">
        <v>62</v>
      </c>
      <c r="E21" t="s">
        <v>83</v>
      </c>
    </row>
    <row r="22" spans="1:5" x14ac:dyDescent="0.2">
      <c r="A22" t="s">
        <v>75</v>
      </c>
      <c r="B22" t="s">
        <v>84</v>
      </c>
      <c r="C22" t="s">
        <v>62</v>
      </c>
      <c r="D22" s="34" t="s">
        <v>62</v>
      </c>
      <c r="E22" t="s">
        <v>85</v>
      </c>
    </row>
    <row r="23" spans="1:5" x14ac:dyDescent="0.2">
      <c r="A23" t="s">
        <v>75</v>
      </c>
      <c r="B23" t="s">
        <v>86</v>
      </c>
      <c r="C23" t="s">
        <v>62</v>
      </c>
      <c r="D23" s="34" t="s">
        <v>62</v>
      </c>
      <c r="E23" t="s">
        <v>87</v>
      </c>
    </row>
    <row r="24" spans="1:5" x14ac:dyDescent="0.2">
      <c r="A24" t="s">
        <v>75</v>
      </c>
      <c r="B24" t="s">
        <v>88</v>
      </c>
      <c r="C24" t="s">
        <v>62</v>
      </c>
      <c r="D24" s="34" t="s">
        <v>62</v>
      </c>
      <c r="E24" t="s">
        <v>89</v>
      </c>
    </row>
    <row r="25" spans="1:5" x14ac:dyDescent="0.2">
      <c r="A25" t="s">
        <v>75</v>
      </c>
      <c r="B25" t="s">
        <v>90</v>
      </c>
      <c r="C25" t="s">
        <v>62</v>
      </c>
      <c r="D25" s="34" t="s">
        <v>62</v>
      </c>
      <c r="E25" t="s">
        <v>91</v>
      </c>
    </row>
    <row r="26" spans="1:5" x14ac:dyDescent="0.2">
      <c r="A26" t="s">
        <v>75</v>
      </c>
      <c r="B26" t="s">
        <v>92</v>
      </c>
      <c r="C26" t="s">
        <v>62</v>
      </c>
      <c r="D26" s="34" t="s">
        <v>62</v>
      </c>
      <c r="E26" t="s">
        <v>93</v>
      </c>
    </row>
    <row r="27" spans="1:5" x14ac:dyDescent="0.2">
      <c r="A27" t="s">
        <v>75</v>
      </c>
      <c r="B27" t="s">
        <v>94</v>
      </c>
      <c r="C27" t="s">
        <v>62</v>
      </c>
      <c r="D27" s="34" t="s">
        <v>62</v>
      </c>
      <c r="E27" t="s">
        <v>95</v>
      </c>
    </row>
    <row r="28" spans="1:5" x14ac:dyDescent="0.2">
      <c r="A28" t="s">
        <v>75</v>
      </c>
      <c r="B28" t="s">
        <v>285</v>
      </c>
      <c r="C28" t="s">
        <v>62</v>
      </c>
      <c r="D28" s="34" t="s">
        <v>62</v>
      </c>
      <c r="E28" t="s">
        <v>96</v>
      </c>
    </row>
    <row r="29" spans="1:5" x14ac:dyDescent="0.2">
      <c r="A29" t="s">
        <v>75</v>
      </c>
      <c r="B29" t="s">
        <v>286</v>
      </c>
      <c r="C29" t="s">
        <v>62</v>
      </c>
      <c r="D29" s="34" t="s">
        <v>62</v>
      </c>
      <c r="E29" t="s">
        <v>97</v>
      </c>
    </row>
    <row r="30" spans="1:5" x14ac:dyDescent="0.2">
      <c r="A30" t="s">
        <v>98</v>
      </c>
      <c r="B30" t="s">
        <v>99</v>
      </c>
      <c r="C30" t="s">
        <v>62</v>
      </c>
      <c r="D30" s="34" t="s">
        <v>62</v>
      </c>
      <c r="E30" t="s">
        <v>100</v>
      </c>
    </row>
    <row r="31" spans="1:5" x14ac:dyDescent="0.2">
      <c r="A31" t="s">
        <v>98</v>
      </c>
      <c r="B31" t="s">
        <v>101</v>
      </c>
      <c r="C31" t="s">
        <v>62</v>
      </c>
      <c r="D31" s="34" t="s">
        <v>62</v>
      </c>
      <c r="E31" t="s">
        <v>102</v>
      </c>
    </row>
    <row r="32" spans="1:5" x14ac:dyDescent="0.2">
      <c r="A32" t="s">
        <v>98</v>
      </c>
      <c r="B32" t="s">
        <v>103</v>
      </c>
      <c r="C32" t="s">
        <v>62</v>
      </c>
      <c r="D32" s="34" t="s">
        <v>62</v>
      </c>
      <c r="E32" t="s">
        <v>104</v>
      </c>
    </row>
    <row r="33" spans="1:5" x14ac:dyDescent="0.2">
      <c r="A33" t="s">
        <v>98</v>
      </c>
      <c r="B33" t="s">
        <v>105</v>
      </c>
      <c r="C33" t="s">
        <v>62</v>
      </c>
      <c r="D33" s="34" t="s">
        <v>62</v>
      </c>
      <c r="E33" t="s">
        <v>106</v>
      </c>
    </row>
    <row r="34" spans="1:5" x14ac:dyDescent="0.2">
      <c r="A34" t="s">
        <v>98</v>
      </c>
      <c r="B34" t="s">
        <v>107</v>
      </c>
      <c r="C34" t="s">
        <v>62</v>
      </c>
      <c r="D34" s="34" t="s">
        <v>62</v>
      </c>
      <c r="E34" t="s">
        <v>108</v>
      </c>
    </row>
    <row r="35" spans="1:5" x14ac:dyDescent="0.2">
      <c r="A35" t="s">
        <v>98</v>
      </c>
      <c r="B35" t="s">
        <v>109</v>
      </c>
      <c r="C35" t="s">
        <v>71</v>
      </c>
      <c r="D35" s="34" t="s">
        <v>62</v>
      </c>
      <c r="E35" t="s">
        <v>110</v>
      </c>
    </row>
    <row r="36" spans="1:5" x14ac:dyDescent="0.2">
      <c r="A36" t="s">
        <v>98</v>
      </c>
      <c r="B36" t="s">
        <v>111</v>
      </c>
      <c r="C36" t="s">
        <v>62</v>
      </c>
      <c r="D36" s="34" t="s">
        <v>62</v>
      </c>
      <c r="E36" t="s">
        <v>112</v>
      </c>
    </row>
    <row r="37" spans="1:5" x14ac:dyDescent="0.2">
      <c r="A37" t="s">
        <v>98</v>
      </c>
      <c r="B37" t="s">
        <v>113</v>
      </c>
      <c r="C37" t="s">
        <v>62</v>
      </c>
      <c r="D37" s="34" t="s">
        <v>62</v>
      </c>
      <c r="E37" t="s">
        <v>114</v>
      </c>
    </row>
    <row r="38" spans="1:5" x14ac:dyDescent="0.2">
      <c r="A38" t="s">
        <v>98</v>
      </c>
      <c r="B38" t="s">
        <v>115</v>
      </c>
      <c r="C38" t="s">
        <v>62</v>
      </c>
      <c r="D38" s="34" t="s">
        <v>62</v>
      </c>
      <c r="E38" t="s">
        <v>116</v>
      </c>
    </row>
    <row r="39" spans="1:5" x14ac:dyDescent="0.2">
      <c r="A39" t="s">
        <v>98</v>
      </c>
      <c r="B39" t="s">
        <v>117</v>
      </c>
      <c r="C39" t="s">
        <v>62</v>
      </c>
      <c r="D39" s="34" t="s">
        <v>71</v>
      </c>
      <c r="E39" t="s">
        <v>287</v>
      </c>
    </row>
    <row r="40" spans="1:5" x14ac:dyDescent="0.2">
      <c r="A40" t="s">
        <v>98</v>
      </c>
      <c r="B40" t="s">
        <v>118</v>
      </c>
      <c r="C40" t="s">
        <v>62</v>
      </c>
      <c r="D40" s="34" t="s">
        <v>62</v>
      </c>
      <c r="E40" t="s">
        <v>119</v>
      </c>
    </row>
    <row r="41" spans="1:5" x14ac:dyDescent="0.2">
      <c r="A41" t="s">
        <v>98</v>
      </c>
      <c r="B41" t="s">
        <v>120</v>
      </c>
      <c r="C41" t="s">
        <v>62</v>
      </c>
      <c r="D41" s="34" t="s">
        <v>62</v>
      </c>
      <c r="E41" t="s">
        <v>121</v>
      </c>
    </row>
    <row r="42" spans="1:5" x14ac:dyDescent="0.2">
      <c r="A42" t="s">
        <v>98</v>
      </c>
      <c r="B42" t="s">
        <v>122</v>
      </c>
      <c r="C42" t="s">
        <v>62</v>
      </c>
      <c r="D42" s="34" t="s">
        <v>62</v>
      </c>
      <c r="E42" t="s">
        <v>123</v>
      </c>
    </row>
    <row r="43" spans="1:5" x14ac:dyDescent="0.2">
      <c r="A43" t="s">
        <v>98</v>
      </c>
      <c r="B43" t="s">
        <v>124</v>
      </c>
      <c r="C43" t="s">
        <v>62</v>
      </c>
      <c r="D43" s="34" t="s">
        <v>62</v>
      </c>
      <c r="E43" t="s">
        <v>125</v>
      </c>
    </row>
    <row r="44" spans="1:5" x14ac:dyDescent="0.2">
      <c r="A44" t="s">
        <v>98</v>
      </c>
      <c r="B44" t="s">
        <v>288</v>
      </c>
      <c r="C44" t="s">
        <v>62</v>
      </c>
      <c r="D44" s="34" t="s">
        <v>62</v>
      </c>
      <c r="E44" t="s">
        <v>126</v>
      </c>
    </row>
    <row r="45" spans="1:5" x14ac:dyDescent="0.2">
      <c r="A45" t="s">
        <v>289</v>
      </c>
      <c r="B45" t="s">
        <v>128</v>
      </c>
      <c r="C45" t="s">
        <v>62</v>
      </c>
      <c r="D45" s="34" t="s">
        <v>71</v>
      </c>
      <c r="E45" t="s">
        <v>290</v>
      </c>
    </row>
    <row r="46" spans="1:5" x14ac:dyDescent="0.2">
      <c r="A46" t="s">
        <v>289</v>
      </c>
      <c r="B46" t="s">
        <v>129</v>
      </c>
      <c r="C46" t="s">
        <v>62</v>
      </c>
      <c r="D46" s="34" t="s">
        <v>71</v>
      </c>
      <c r="E46" t="s">
        <v>291</v>
      </c>
    </row>
    <row r="47" spans="1:5" x14ac:dyDescent="0.2">
      <c r="A47" t="s">
        <v>289</v>
      </c>
      <c r="B47" t="s">
        <v>130</v>
      </c>
      <c r="C47" t="s">
        <v>62</v>
      </c>
      <c r="D47" s="34" t="s">
        <v>71</v>
      </c>
      <c r="E47" t="s">
        <v>292</v>
      </c>
    </row>
    <row r="48" spans="1:5" x14ac:dyDescent="0.2">
      <c r="A48" t="s">
        <v>289</v>
      </c>
      <c r="B48" t="s">
        <v>131</v>
      </c>
      <c r="C48" t="s">
        <v>62</v>
      </c>
      <c r="D48" s="34" t="s">
        <v>71</v>
      </c>
      <c r="E48" t="s">
        <v>293</v>
      </c>
    </row>
    <row r="49" spans="1:5" x14ac:dyDescent="0.2">
      <c r="A49" t="s">
        <v>289</v>
      </c>
      <c r="B49" t="s">
        <v>132</v>
      </c>
      <c r="C49" t="s">
        <v>62</v>
      </c>
      <c r="D49" s="34" t="s">
        <v>62</v>
      </c>
      <c r="E49" t="s">
        <v>133</v>
      </c>
    </row>
    <row r="50" spans="1:5" x14ac:dyDescent="0.2">
      <c r="A50" t="s">
        <v>289</v>
      </c>
      <c r="B50" t="s">
        <v>134</v>
      </c>
      <c r="C50" t="s">
        <v>62</v>
      </c>
      <c r="D50" s="34" t="s">
        <v>71</v>
      </c>
      <c r="E50" t="s">
        <v>294</v>
      </c>
    </row>
    <row r="51" spans="1:5" x14ac:dyDescent="0.2">
      <c r="A51" t="s">
        <v>289</v>
      </c>
      <c r="B51" t="s">
        <v>135</v>
      </c>
      <c r="C51" t="s">
        <v>62</v>
      </c>
      <c r="D51" s="34" t="s">
        <v>62</v>
      </c>
      <c r="E51" t="s">
        <v>136</v>
      </c>
    </row>
    <row r="52" spans="1:5" x14ac:dyDescent="0.2">
      <c r="A52" t="s">
        <v>289</v>
      </c>
      <c r="B52" t="s">
        <v>137</v>
      </c>
      <c r="C52" t="s">
        <v>62</v>
      </c>
      <c r="D52" s="34" t="s">
        <v>62</v>
      </c>
      <c r="E52" t="s">
        <v>138</v>
      </c>
    </row>
    <row r="53" spans="1:5" x14ac:dyDescent="0.2">
      <c r="A53" t="s">
        <v>289</v>
      </c>
      <c r="B53" t="s">
        <v>139</v>
      </c>
      <c r="C53" t="s">
        <v>62</v>
      </c>
      <c r="D53" s="34" t="s">
        <v>62</v>
      </c>
      <c r="E53" t="s">
        <v>140</v>
      </c>
    </row>
    <row r="54" spans="1:5" x14ac:dyDescent="0.2">
      <c r="A54" t="s">
        <v>289</v>
      </c>
      <c r="B54" t="s">
        <v>141</v>
      </c>
      <c r="C54" t="s">
        <v>62</v>
      </c>
      <c r="D54" s="34" t="s">
        <v>62</v>
      </c>
      <c r="E54" t="s">
        <v>142</v>
      </c>
    </row>
    <row r="55" spans="1:5" x14ac:dyDescent="0.2">
      <c r="A55" t="s">
        <v>289</v>
      </c>
      <c r="B55" t="s">
        <v>143</v>
      </c>
      <c r="C55" t="s">
        <v>62</v>
      </c>
      <c r="D55" s="34" t="s">
        <v>71</v>
      </c>
      <c r="E55" t="s">
        <v>295</v>
      </c>
    </row>
    <row r="56" spans="1:5" x14ac:dyDescent="0.2">
      <c r="A56" t="s">
        <v>289</v>
      </c>
      <c r="B56" t="s">
        <v>144</v>
      </c>
      <c r="C56" t="s">
        <v>62</v>
      </c>
      <c r="D56" s="34" t="s">
        <v>71</v>
      </c>
      <c r="E56" t="s">
        <v>296</v>
      </c>
    </row>
    <row r="57" spans="1:5" x14ac:dyDescent="0.2">
      <c r="A57" t="s">
        <v>289</v>
      </c>
      <c r="B57" t="s">
        <v>145</v>
      </c>
      <c r="C57" t="s">
        <v>71</v>
      </c>
      <c r="D57" s="34" t="s">
        <v>62</v>
      </c>
      <c r="E57" t="s">
        <v>146</v>
      </c>
    </row>
    <row r="58" spans="1:5" x14ac:dyDescent="0.2">
      <c r="A58" t="s">
        <v>289</v>
      </c>
      <c r="B58" t="s">
        <v>147</v>
      </c>
      <c r="C58" t="s">
        <v>62</v>
      </c>
      <c r="D58" s="34" t="s">
        <v>62</v>
      </c>
      <c r="E58" t="s">
        <v>148</v>
      </c>
    </row>
    <row r="59" spans="1:5" x14ac:dyDescent="0.2">
      <c r="A59" t="s">
        <v>289</v>
      </c>
      <c r="B59" t="s">
        <v>297</v>
      </c>
      <c r="C59" t="s">
        <v>71</v>
      </c>
      <c r="D59" s="34" t="s">
        <v>71</v>
      </c>
      <c r="E59" t="s">
        <v>298</v>
      </c>
    </row>
    <row r="60" spans="1:5" x14ac:dyDescent="0.2">
      <c r="A60" t="s">
        <v>149</v>
      </c>
      <c r="B60" t="s">
        <v>150</v>
      </c>
      <c r="C60" t="s">
        <v>62</v>
      </c>
      <c r="D60" s="34" t="s">
        <v>62</v>
      </c>
      <c r="E60" t="s">
        <v>151</v>
      </c>
    </row>
    <row r="61" spans="1:5" x14ac:dyDescent="0.2">
      <c r="A61" t="s">
        <v>149</v>
      </c>
      <c r="B61" t="s">
        <v>152</v>
      </c>
      <c r="C61" t="s">
        <v>62</v>
      </c>
      <c r="D61" s="34" t="s">
        <v>62</v>
      </c>
      <c r="E61" t="s">
        <v>153</v>
      </c>
    </row>
    <row r="62" spans="1:5" x14ac:dyDescent="0.2">
      <c r="A62" t="s">
        <v>149</v>
      </c>
      <c r="B62" t="s">
        <v>154</v>
      </c>
      <c r="C62" t="s">
        <v>62</v>
      </c>
      <c r="D62" s="34" t="s">
        <v>62</v>
      </c>
      <c r="E62" t="s">
        <v>155</v>
      </c>
    </row>
    <row r="63" spans="1:5" x14ac:dyDescent="0.2">
      <c r="A63" t="s">
        <v>149</v>
      </c>
      <c r="B63" t="s">
        <v>156</v>
      </c>
      <c r="C63" t="s">
        <v>62</v>
      </c>
      <c r="D63" s="34" t="s">
        <v>62</v>
      </c>
      <c r="E63" t="s">
        <v>157</v>
      </c>
    </row>
    <row r="64" spans="1:5" x14ac:dyDescent="0.2">
      <c r="A64" t="s">
        <v>149</v>
      </c>
      <c r="B64" t="s">
        <v>158</v>
      </c>
      <c r="C64" t="s">
        <v>62</v>
      </c>
      <c r="D64" s="34" t="s">
        <v>62</v>
      </c>
      <c r="E64" t="s">
        <v>159</v>
      </c>
    </row>
    <row r="65" spans="1:5" x14ac:dyDescent="0.2">
      <c r="A65" t="s">
        <v>149</v>
      </c>
      <c r="B65" t="s">
        <v>160</v>
      </c>
      <c r="C65" t="s">
        <v>62</v>
      </c>
      <c r="D65" s="34" t="s">
        <v>62</v>
      </c>
      <c r="E65" t="s">
        <v>161</v>
      </c>
    </row>
    <row r="66" spans="1:5" x14ac:dyDescent="0.2">
      <c r="A66" t="s">
        <v>149</v>
      </c>
      <c r="B66" t="s">
        <v>162</v>
      </c>
      <c r="C66" t="s">
        <v>62</v>
      </c>
      <c r="D66" s="34" t="s">
        <v>62</v>
      </c>
      <c r="E66" t="s">
        <v>163</v>
      </c>
    </row>
    <row r="67" spans="1:5" x14ac:dyDescent="0.2">
      <c r="A67" t="s">
        <v>149</v>
      </c>
      <c r="B67" t="s">
        <v>164</v>
      </c>
      <c r="C67" t="s">
        <v>62</v>
      </c>
      <c r="D67" s="34" t="s">
        <v>62</v>
      </c>
      <c r="E67" t="s">
        <v>165</v>
      </c>
    </row>
    <row r="68" spans="1:5" x14ac:dyDescent="0.2">
      <c r="A68" t="s">
        <v>149</v>
      </c>
      <c r="B68" t="s">
        <v>166</v>
      </c>
      <c r="C68" t="s">
        <v>62</v>
      </c>
      <c r="D68" s="34" t="s">
        <v>62</v>
      </c>
      <c r="E68" t="s">
        <v>167</v>
      </c>
    </row>
    <row r="69" spans="1:5" x14ac:dyDescent="0.2">
      <c r="A69" t="s">
        <v>149</v>
      </c>
      <c r="B69" t="s">
        <v>168</v>
      </c>
      <c r="C69" t="s">
        <v>62</v>
      </c>
      <c r="D69" s="34" t="s">
        <v>62</v>
      </c>
      <c r="E69" t="s">
        <v>169</v>
      </c>
    </row>
    <row r="70" spans="1:5" x14ac:dyDescent="0.2">
      <c r="A70" t="s">
        <v>149</v>
      </c>
      <c r="B70" t="s">
        <v>170</v>
      </c>
      <c r="C70" t="s">
        <v>62</v>
      </c>
      <c r="D70" s="34" t="s">
        <v>62</v>
      </c>
      <c r="E70" t="s">
        <v>171</v>
      </c>
    </row>
    <row r="71" spans="1:5" x14ac:dyDescent="0.2">
      <c r="A71" t="s">
        <v>149</v>
      </c>
      <c r="B71" t="s">
        <v>172</v>
      </c>
      <c r="C71" t="s">
        <v>62</v>
      </c>
      <c r="D71" s="34" t="s">
        <v>62</v>
      </c>
      <c r="E71" t="s">
        <v>173</v>
      </c>
    </row>
    <row r="72" spans="1:5" x14ac:dyDescent="0.2">
      <c r="A72" t="s">
        <v>149</v>
      </c>
      <c r="B72" t="s">
        <v>174</v>
      </c>
      <c r="C72" t="s">
        <v>62</v>
      </c>
      <c r="D72" s="34" t="s">
        <v>62</v>
      </c>
      <c r="E72" t="s">
        <v>175</v>
      </c>
    </row>
    <row r="73" spans="1:5" x14ac:dyDescent="0.2">
      <c r="A73" t="s">
        <v>149</v>
      </c>
      <c r="B73" t="s">
        <v>299</v>
      </c>
      <c r="C73" t="s">
        <v>62</v>
      </c>
      <c r="D73" s="34" t="s">
        <v>71</v>
      </c>
      <c r="E73" t="s">
        <v>300</v>
      </c>
    </row>
    <row r="74" spans="1:5" x14ac:dyDescent="0.2">
      <c r="A74" t="s">
        <v>149</v>
      </c>
      <c r="B74" t="s">
        <v>301</v>
      </c>
      <c r="C74" t="s">
        <v>71</v>
      </c>
      <c r="D74" s="34" t="s">
        <v>62</v>
      </c>
      <c r="E74" t="s">
        <v>176</v>
      </c>
    </row>
    <row r="75" spans="1:5" x14ac:dyDescent="0.2">
      <c r="A75" t="s">
        <v>149</v>
      </c>
      <c r="B75" t="s">
        <v>302</v>
      </c>
      <c r="C75" t="s">
        <v>62</v>
      </c>
      <c r="D75" s="34" t="s">
        <v>71</v>
      </c>
      <c r="E75" t="s">
        <v>303</v>
      </c>
    </row>
    <row r="76" spans="1:5" x14ac:dyDescent="0.2">
      <c r="A76" t="s">
        <v>149</v>
      </c>
      <c r="B76" t="s">
        <v>304</v>
      </c>
      <c r="C76" t="s">
        <v>62</v>
      </c>
      <c r="D76" s="34" t="s">
        <v>71</v>
      </c>
      <c r="E76" t="s">
        <v>305</v>
      </c>
    </row>
    <row r="77" spans="1:5" x14ac:dyDescent="0.2">
      <c r="A77" t="s">
        <v>149</v>
      </c>
      <c r="B77" t="s">
        <v>306</v>
      </c>
      <c r="C77" t="s">
        <v>62</v>
      </c>
      <c r="D77" s="34" t="s">
        <v>71</v>
      </c>
      <c r="E77" t="s">
        <v>307</v>
      </c>
    </row>
    <row r="78" spans="1:5" x14ac:dyDescent="0.2">
      <c r="A78" t="s">
        <v>177</v>
      </c>
      <c r="B78" t="s">
        <v>178</v>
      </c>
      <c r="C78" t="s">
        <v>71</v>
      </c>
      <c r="D78" s="34" t="s">
        <v>71</v>
      </c>
      <c r="E78" t="s">
        <v>308</v>
      </c>
    </row>
    <row r="79" spans="1:5" x14ac:dyDescent="0.2">
      <c r="A79" t="s">
        <v>177</v>
      </c>
      <c r="B79" t="s">
        <v>179</v>
      </c>
      <c r="C79" t="s">
        <v>62</v>
      </c>
      <c r="D79" s="34" t="s">
        <v>62</v>
      </c>
      <c r="E79" t="s">
        <v>180</v>
      </c>
    </row>
    <row r="80" spans="1:5" x14ac:dyDescent="0.2">
      <c r="A80" t="s">
        <v>177</v>
      </c>
      <c r="B80" t="s">
        <v>181</v>
      </c>
      <c r="C80" t="s">
        <v>62</v>
      </c>
      <c r="D80" s="34" t="s">
        <v>317</v>
      </c>
      <c r="E80" t="s">
        <v>309</v>
      </c>
    </row>
    <row r="81" spans="1:5" x14ac:dyDescent="0.2">
      <c r="A81" t="s">
        <v>177</v>
      </c>
      <c r="B81" t="s">
        <v>182</v>
      </c>
      <c r="C81" t="s">
        <v>62</v>
      </c>
      <c r="D81" s="34" t="s">
        <v>62</v>
      </c>
      <c r="E81" t="s">
        <v>183</v>
      </c>
    </row>
    <row r="82" spans="1:5" x14ac:dyDescent="0.2">
      <c r="A82" t="s">
        <v>177</v>
      </c>
      <c r="B82" t="s">
        <v>184</v>
      </c>
      <c r="C82" t="s">
        <v>62</v>
      </c>
      <c r="D82" s="34" t="s">
        <v>62</v>
      </c>
      <c r="E82" t="s">
        <v>185</v>
      </c>
    </row>
    <row r="83" spans="1:5" x14ac:dyDescent="0.2">
      <c r="A83" t="s">
        <v>177</v>
      </c>
      <c r="B83" t="s">
        <v>186</v>
      </c>
      <c r="C83" t="s">
        <v>71</v>
      </c>
      <c r="D83" s="34" t="s">
        <v>62</v>
      </c>
      <c r="E83" t="s">
        <v>187</v>
      </c>
    </row>
    <row r="84" spans="1:5" x14ac:dyDescent="0.2">
      <c r="A84" t="s">
        <v>177</v>
      </c>
      <c r="B84" t="s">
        <v>188</v>
      </c>
      <c r="C84" t="s">
        <v>62</v>
      </c>
      <c r="D84" s="34" t="s">
        <v>62</v>
      </c>
      <c r="E84" t="s">
        <v>189</v>
      </c>
    </row>
    <row r="85" spans="1:5" x14ac:dyDescent="0.2">
      <c r="A85" t="s">
        <v>177</v>
      </c>
      <c r="B85" t="s">
        <v>190</v>
      </c>
      <c r="C85" t="s">
        <v>62</v>
      </c>
      <c r="D85" s="34" t="s">
        <v>71</v>
      </c>
      <c r="E85" t="s">
        <v>310</v>
      </c>
    </row>
    <row r="86" spans="1:5" x14ac:dyDescent="0.2">
      <c r="A86" t="s">
        <v>177</v>
      </c>
      <c r="B86" t="s">
        <v>191</v>
      </c>
      <c r="C86" t="s">
        <v>71</v>
      </c>
      <c r="D86" s="34" t="s">
        <v>71</v>
      </c>
      <c r="E86" t="s">
        <v>311</v>
      </c>
    </row>
    <row r="87" spans="1:5" x14ac:dyDescent="0.2">
      <c r="A87" t="s">
        <v>177</v>
      </c>
      <c r="B87" t="s">
        <v>312</v>
      </c>
      <c r="C87" t="s">
        <v>62</v>
      </c>
      <c r="D87" s="34" t="s">
        <v>71</v>
      </c>
      <c r="E87" t="s">
        <v>313</v>
      </c>
    </row>
    <row r="88" spans="1:5" x14ac:dyDescent="0.2">
      <c r="A88" t="s">
        <v>177</v>
      </c>
      <c r="B88" t="s">
        <v>192</v>
      </c>
      <c r="C88" t="s">
        <v>71</v>
      </c>
      <c r="D88" s="34" t="s">
        <v>62</v>
      </c>
      <c r="E88" t="s">
        <v>193</v>
      </c>
    </row>
    <row r="89" spans="1:5" x14ac:dyDescent="0.2">
      <c r="A89" t="s">
        <v>177</v>
      </c>
      <c r="B89" t="s">
        <v>194</v>
      </c>
      <c r="C89" t="s">
        <v>62</v>
      </c>
      <c r="D89" s="34" t="s">
        <v>62</v>
      </c>
      <c r="E89" t="s">
        <v>195</v>
      </c>
    </row>
    <row r="90" spans="1:5" x14ac:dyDescent="0.2">
      <c r="A90" t="s">
        <v>177</v>
      </c>
      <c r="B90" t="s">
        <v>196</v>
      </c>
      <c r="C90" t="s">
        <v>71</v>
      </c>
      <c r="D90" s="34" t="s">
        <v>62</v>
      </c>
      <c r="E90" t="s">
        <v>197</v>
      </c>
    </row>
    <row r="91" spans="1:5" x14ac:dyDescent="0.2">
      <c r="A91" t="s">
        <v>177</v>
      </c>
      <c r="B91" t="s">
        <v>198</v>
      </c>
      <c r="C91" t="s">
        <v>62</v>
      </c>
      <c r="D91" s="34" t="s">
        <v>62</v>
      </c>
      <c r="E91" t="s">
        <v>199</v>
      </c>
    </row>
    <row r="92" spans="1:5" x14ac:dyDescent="0.2">
      <c r="A92" t="s">
        <v>177</v>
      </c>
      <c r="B92" t="s">
        <v>200</v>
      </c>
      <c r="C92" t="s">
        <v>62</v>
      </c>
      <c r="D92" s="34" t="s">
        <v>62</v>
      </c>
      <c r="E92" t="s">
        <v>201</v>
      </c>
    </row>
    <row r="93" spans="1:5" x14ac:dyDescent="0.2">
      <c r="A93" t="s">
        <v>177</v>
      </c>
      <c r="B93" t="s">
        <v>314</v>
      </c>
      <c r="C93" t="s">
        <v>62</v>
      </c>
      <c r="D93" s="34" t="s">
        <v>62</v>
      </c>
      <c r="E93" t="s">
        <v>202</v>
      </c>
    </row>
    <row r="94" spans="1:5" x14ac:dyDescent="0.2">
      <c r="A94" t="s">
        <v>177</v>
      </c>
      <c r="B94" t="s">
        <v>315</v>
      </c>
      <c r="C94" t="s">
        <v>62</v>
      </c>
      <c r="D94" s="34" t="s">
        <v>62</v>
      </c>
      <c r="E94" t="s">
        <v>203</v>
      </c>
    </row>
  </sheetData>
  <pageMargins left="0.7" right="0.7" top="0.78740157499999996" bottom="0.78740157499999996" header="0.3" footer="0.3"/>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36AA5-2D5B-1143-88E9-A0A95924283B}">
  <dimension ref="A1:E8"/>
  <sheetViews>
    <sheetView zoomScale="150" workbookViewId="0">
      <selection activeCell="D21" sqref="D21"/>
    </sheetView>
  </sheetViews>
  <sheetFormatPr baseColWidth="10" defaultRowHeight="15" x14ac:dyDescent="0.2"/>
  <cols>
    <col min="2" max="2" width="24.83203125" bestFit="1" customWidth="1"/>
    <col min="3" max="3" width="39.1640625" bestFit="1" customWidth="1"/>
    <col min="4" max="4" width="48.5" bestFit="1" customWidth="1"/>
    <col min="5" max="5" width="36.33203125" bestFit="1" customWidth="1"/>
  </cols>
  <sheetData>
    <row r="1" spans="1:5" x14ac:dyDescent="0.2">
      <c r="A1" s="39" t="s">
        <v>353</v>
      </c>
      <c r="B1" s="39" t="s">
        <v>323</v>
      </c>
      <c r="C1" s="39" t="s">
        <v>324</v>
      </c>
      <c r="D1" s="39" t="s">
        <v>325</v>
      </c>
      <c r="E1" s="40" t="s">
        <v>352</v>
      </c>
    </row>
    <row r="2" spans="1:5" x14ac:dyDescent="0.2">
      <c r="A2" s="36" t="s">
        <v>319</v>
      </c>
      <c r="B2" s="36" t="s">
        <v>320</v>
      </c>
      <c r="C2" s="36" t="s">
        <v>321</v>
      </c>
      <c r="D2" s="36" t="s">
        <v>322</v>
      </c>
      <c r="E2" s="41" t="s">
        <v>319</v>
      </c>
    </row>
    <row r="3" spans="1:5" x14ac:dyDescent="0.2">
      <c r="A3" s="41" t="s">
        <v>326</v>
      </c>
      <c r="B3" s="41" t="s">
        <v>327</v>
      </c>
      <c r="C3" s="41" t="s">
        <v>328</v>
      </c>
      <c r="D3" s="41" t="s">
        <v>329</v>
      </c>
      <c r="E3" s="41">
        <v>10005260</v>
      </c>
    </row>
    <row r="4" spans="1:5" x14ac:dyDescent="0.2">
      <c r="A4" s="41" t="s">
        <v>330</v>
      </c>
      <c r="B4" s="41" t="s">
        <v>331</v>
      </c>
      <c r="C4" s="41" t="s">
        <v>332</v>
      </c>
      <c r="D4" s="41" t="s">
        <v>333</v>
      </c>
      <c r="E4" s="41" t="s">
        <v>334</v>
      </c>
    </row>
    <row r="5" spans="1:5" x14ac:dyDescent="0.2">
      <c r="A5" s="37">
        <v>10030382</v>
      </c>
      <c r="B5" s="38" t="s">
        <v>335</v>
      </c>
      <c r="C5" s="38" t="s">
        <v>336</v>
      </c>
      <c r="D5" s="38" t="s">
        <v>337</v>
      </c>
      <c r="E5" s="41">
        <v>10030382</v>
      </c>
    </row>
    <row r="6" spans="1:5" x14ac:dyDescent="0.2">
      <c r="A6" s="37">
        <v>10031400</v>
      </c>
      <c r="B6" s="38" t="s">
        <v>338</v>
      </c>
      <c r="C6" s="38" t="s">
        <v>339</v>
      </c>
      <c r="D6" s="38" t="s">
        <v>340</v>
      </c>
      <c r="E6" s="41" t="s">
        <v>341</v>
      </c>
    </row>
    <row r="7" spans="1:5" x14ac:dyDescent="0.2">
      <c r="A7" s="36" t="s">
        <v>342</v>
      </c>
      <c r="B7" s="36" t="s">
        <v>343</v>
      </c>
      <c r="C7" s="36" t="s">
        <v>344</v>
      </c>
      <c r="D7" s="36" t="s">
        <v>345</v>
      </c>
      <c r="E7" s="41" t="s">
        <v>346</v>
      </c>
    </row>
    <row r="8" spans="1:5" x14ac:dyDescent="0.2">
      <c r="A8" s="36" t="s">
        <v>347</v>
      </c>
      <c r="B8" s="36" t="s">
        <v>348</v>
      </c>
      <c r="C8" s="36" t="s">
        <v>349</v>
      </c>
      <c r="D8" s="36" t="s">
        <v>350</v>
      </c>
      <c r="E8" s="41" t="s">
        <v>351</v>
      </c>
    </row>
  </sheetData>
  <conditionalFormatting sqref="A1">
    <cfRule type="duplicateValues" dxfId="5" priority="5"/>
  </conditionalFormatting>
  <conditionalFormatting sqref="A2">
    <cfRule type="duplicateValues" dxfId="4" priority="6"/>
  </conditionalFormatting>
  <conditionalFormatting sqref="A5">
    <cfRule type="duplicateValues" dxfId="3" priority="4"/>
  </conditionalFormatting>
  <conditionalFormatting sqref="A6">
    <cfRule type="duplicateValues" dxfId="2" priority="3"/>
  </conditionalFormatting>
  <conditionalFormatting sqref="A7">
    <cfRule type="duplicateValues" dxfId="1" priority="2"/>
  </conditionalFormatting>
  <conditionalFormatting sqref="A8">
    <cfRule type="duplicateValues" dxfId="0" priority="1"/>
  </conditionalFormatting>
  <pageMargins left="0.7" right="0.7" top="0.78740157499999996" bottom="0.78740157499999996"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57d8072-6182-41bb-8ddf-9cc93215ddfc">
      <Terms xmlns="http://schemas.microsoft.com/office/infopath/2007/PartnerControls"/>
    </lcf76f155ced4ddcb4097134ff3c332f>
    <TaxCatchAll xmlns="bb2c32bd-778f-4484-82a8-eabdb8e7b8f1"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kument" ma:contentTypeID="0x010100A327655C7F44D2439A96EED7FDC2EBB4" ma:contentTypeVersion="12" ma:contentTypeDescription="Ein neues Dokument erstellen." ma:contentTypeScope="" ma:versionID="074651c62e44c812253e09b7ba70c0ba">
  <xsd:schema xmlns:xsd="http://www.w3.org/2001/XMLSchema" xmlns:xs="http://www.w3.org/2001/XMLSchema" xmlns:p="http://schemas.microsoft.com/office/2006/metadata/properties" xmlns:ns2="857d8072-6182-41bb-8ddf-9cc93215ddfc" xmlns:ns3="bb2c32bd-778f-4484-82a8-eabdb8e7b8f1" targetNamespace="http://schemas.microsoft.com/office/2006/metadata/properties" ma:root="true" ma:fieldsID="12e30a51308ed160c3a167b121d821d7" ns2:_="" ns3:_="">
    <xsd:import namespace="857d8072-6182-41bb-8ddf-9cc93215ddfc"/>
    <xsd:import namespace="bb2c32bd-778f-4484-82a8-eabdb8e7b8f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7d8072-6182-41bb-8ddf-9cc93215dd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ildmarkierungen" ma:readOnly="false" ma:fieldId="{5cf76f15-5ced-4ddc-b409-7134ff3c332f}" ma:taxonomyMulti="true" ma:sspId="ecde2a84-3327-4e20-8923-ce2fe6bda1f1"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b2c32bd-778f-4484-82a8-eabdb8e7b8f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3702ee0-43f4-4d7a-9581-7a7bba6b1cc1}" ma:internalName="TaxCatchAll" ma:showField="CatchAllData" ma:web="bb2c32bd-778f-4484-82a8-eabdb8e7b8f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8B87197-1205-4CA2-A211-0A428FE02837}">
  <ds:schemaRefs>
    <ds:schemaRef ds:uri="http://purl.org/dc/elements/1.1/"/>
    <ds:schemaRef ds:uri="http://purl.org/dc/terms/"/>
    <ds:schemaRef ds:uri="http://schemas.microsoft.com/office/2006/documentManagement/types"/>
    <ds:schemaRef ds:uri="http://purl.org/dc/dcmitype/"/>
    <ds:schemaRef ds:uri="http://schemas.microsoft.com/office/infopath/2007/PartnerControls"/>
    <ds:schemaRef ds:uri="857d8072-6182-41bb-8ddf-9cc93215ddfc"/>
    <ds:schemaRef ds:uri="http://schemas.microsoft.com/office/2006/metadata/properties"/>
    <ds:schemaRef ds:uri="http://schemas.openxmlformats.org/package/2006/metadata/core-properties"/>
    <ds:schemaRef ds:uri="bb2c32bd-778f-4484-82a8-eabdb8e7b8f1"/>
    <ds:schemaRef ds:uri="http://www.w3.org/XML/1998/namespace"/>
  </ds:schemaRefs>
</ds:datastoreItem>
</file>

<file path=customXml/itemProps2.xml><?xml version="1.0" encoding="utf-8"?>
<ds:datastoreItem xmlns:ds="http://schemas.openxmlformats.org/officeDocument/2006/customXml" ds:itemID="{EBD6B173-8629-43F5-9CC1-96383291BFA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57d8072-6182-41bb-8ddf-9cc93215ddfc"/>
    <ds:schemaRef ds:uri="bb2c32bd-778f-4484-82a8-eabdb8e7b8f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6B882A1-EBB2-412D-A5D8-E3D9E2789F1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7</vt:i4>
      </vt:variant>
    </vt:vector>
  </HeadingPairs>
  <TitlesOfParts>
    <vt:vector size="7" baseType="lpstr">
      <vt:lpstr>auswertungsplan</vt:lpstr>
      <vt:lpstr>berechnungen</vt:lpstr>
      <vt:lpstr>transformation</vt:lpstr>
      <vt:lpstr>basismodul</vt:lpstr>
      <vt:lpstr>zusatzmodul</vt:lpstr>
      <vt:lpstr>vergleichswerte 2023 (fragen)</vt:lpstr>
      <vt:lpstr>vergleichswerte 2023 (einheit)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FehrAdvice</dc:creator>
  <cp:keywords/>
  <dc:description/>
  <cp:lastModifiedBy>Emily Zima</cp:lastModifiedBy>
  <cp:revision/>
  <dcterms:created xsi:type="dcterms:W3CDTF">2015-06-05T18:19:34Z</dcterms:created>
  <dcterms:modified xsi:type="dcterms:W3CDTF">2025-10-16T06:21:38Z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0x010100A327655C7F44D2439A96EED7FDC2EBB4</vt:lpwstr>
  </property>
  <property fmtid="{D5CDD505-2E9C-101B-9397-08002B2CF9AE}" pid="3" name="MediaServiceImageTags">
    <vt:lpwstr/>
  </property>
</Properties>
</file>